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30" codeName="{861861EC-F77C-3E69-5087-FD670AB338C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tomasz.zielski\Source\Repos\carpg\doc\"/>
    </mc:Choice>
  </mc:AlternateContent>
  <bookViews>
    <workbookView xWindow="0" yWindow="0" windowWidth="21660" windowHeight="10860"/>
  </bookViews>
  <sheets>
    <sheet name="carry" sheetId="1" r:id="rId1"/>
    <sheet name="lvl hp atk" sheetId="2" r:id="rId2"/>
    <sheet name="lvl vs lvl" sheetId="8" r:id="rId3"/>
    <sheet name="ratio calc" sheetId="4" r:id="rId4"/>
    <sheet name="aptitude" sheetId="3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B6" i="4"/>
  <c r="B5" i="4"/>
  <c r="B7" i="4"/>
  <c r="F3" i="2"/>
  <c r="B3" i="8"/>
  <c r="F3" i="8"/>
  <c r="J3" i="8"/>
  <c r="N3" i="8"/>
  <c r="R3" i="8"/>
  <c r="V3" i="8"/>
  <c r="E4" i="8"/>
  <c r="I4" i="8"/>
  <c r="M4" i="8"/>
  <c r="Q4" i="8"/>
  <c r="U4" i="8"/>
  <c r="D5" i="8"/>
  <c r="H5" i="8"/>
  <c r="L5" i="8"/>
  <c r="P5" i="8"/>
  <c r="T5" i="8"/>
  <c r="C6" i="8"/>
  <c r="G6" i="8"/>
  <c r="K6" i="8"/>
  <c r="O6" i="8"/>
  <c r="S6" i="8"/>
  <c r="B7" i="8"/>
  <c r="F7" i="8"/>
  <c r="J7" i="8"/>
  <c r="N7" i="8"/>
  <c r="R7" i="8"/>
  <c r="V7" i="8"/>
  <c r="E8" i="8"/>
  <c r="I8" i="8"/>
  <c r="M8" i="8"/>
  <c r="Q8" i="8"/>
  <c r="U8" i="8"/>
  <c r="D9" i="8"/>
  <c r="H9" i="8"/>
  <c r="L9" i="8"/>
  <c r="P9" i="8"/>
  <c r="T9" i="8"/>
  <c r="C10" i="8"/>
  <c r="G10" i="8"/>
  <c r="K10" i="8"/>
  <c r="O10" i="8"/>
  <c r="S10" i="8"/>
  <c r="B11" i="8"/>
  <c r="F11" i="8"/>
  <c r="J11" i="8"/>
  <c r="N11" i="8"/>
  <c r="R11" i="8"/>
  <c r="V11" i="8"/>
  <c r="E12" i="8"/>
  <c r="I12" i="8"/>
  <c r="M12" i="8"/>
  <c r="Q12" i="8"/>
  <c r="U12" i="8"/>
  <c r="D13" i="8"/>
  <c r="H13" i="8"/>
  <c r="L13" i="8"/>
  <c r="P13" i="8"/>
  <c r="T13" i="8"/>
  <c r="C14" i="8"/>
  <c r="G14" i="8"/>
  <c r="K14" i="8"/>
  <c r="O14" i="8"/>
  <c r="S14" i="8"/>
  <c r="B15" i="8"/>
  <c r="F15" i="8"/>
  <c r="J15" i="8"/>
  <c r="N15" i="8"/>
  <c r="R15" i="8"/>
  <c r="V15" i="8"/>
  <c r="E16" i="8"/>
  <c r="I16" i="8"/>
  <c r="M16" i="8"/>
  <c r="Q16" i="8"/>
  <c r="U16" i="8"/>
  <c r="D17" i="8"/>
  <c r="H17" i="8"/>
  <c r="L17" i="8"/>
  <c r="P17" i="8"/>
  <c r="T17" i="8"/>
  <c r="C18" i="8"/>
  <c r="G18" i="8"/>
  <c r="K18" i="8"/>
  <c r="O18" i="8"/>
  <c r="S18" i="8"/>
  <c r="B19" i="8"/>
  <c r="F19" i="8"/>
  <c r="J19" i="8"/>
  <c r="N19" i="8"/>
  <c r="R19" i="8"/>
  <c r="V19" i="8"/>
  <c r="E20" i="8"/>
  <c r="I20" i="8"/>
  <c r="M20" i="8"/>
  <c r="Q20" i="8"/>
  <c r="U20" i="8"/>
  <c r="D21" i="8"/>
  <c r="H21" i="8"/>
  <c r="L21" i="8"/>
  <c r="P21" i="8"/>
  <c r="T21" i="8"/>
  <c r="C22" i="8"/>
  <c r="G22" i="8"/>
  <c r="K22" i="8"/>
  <c r="O22" i="8"/>
  <c r="S22" i="8"/>
  <c r="N16" i="8"/>
  <c r="T18" i="8"/>
  <c r="G19" i="8"/>
  <c r="O19" i="8"/>
  <c r="B20" i="8"/>
  <c r="J20" i="8"/>
  <c r="R20" i="8"/>
  <c r="E21" i="8"/>
  <c r="M21" i="8"/>
  <c r="U21" i="8"/>
  <c r="H22" i="8"/>
  <c r="P22" i="8"/>
  <c r="C3" i="8"/>
  <c r="G3" i="8"/>
  <c r="K3" i="8"/>
  <c r="O3" i="8"/>
  <c r="S3" i="8"/>
  <c r="B4" i="8"/>
  <c r="F4" i="8"/>
  <c r="J4" i="8"/>
  <c r="N4" i="8"/>
  <c r="R4" i="8"/>
  <c r="V4" i="8"/>
  <c r="E5" i="8"/>
  <c r="I5" i="8"/>
  <c r="M5" i="8"/>
  <c r="Q5" i="8"/>
  <c r="U5" i="8"/>
  <c r="D6" i="8"/>
  <c r="H6" i="8"/>
  <c r="L6" i="8"/>
  <c r="P6" i="8"/>
  <c r="T6" i="8"/>
  <c r="C7" i="8"/>
  <c r="G7" i="8"/>
  <c r="K7" i="8"/>
  <c r="O7" i="8"/>
  <c r="S7" i="8"/>
  <c r="B8" i="8"/>
  <c r="F8" i="8"/>
  <c r="J8" i="8"/>
  <c r="N8" i="8"/>
  <c r="R8" i="8"/>
  <c r="V8" i="8"/>
  <c r="E9" i="8"/>
  <c r="I9" i="8"/>
  <c r="M9" i="8"/>
  <c r="Q9" i="8"/>
  <c r="U9" i="8"/>
  <c r="D10" i="8"/>
  <c r="H10" i="8"/>
  <c r="L10" i="8"/>
  <c r="P10" i="8"/>
  <c r="T10" i="8"/>
  <c r="C11" i="8"/>
  <c r="G11" i="8"/>
  <c r="K11" i="8"/>
  <c r="O11" i="8"/>
  <c r="S11" i="8"/>
  <c r="B12" i="8"/>
  <c r="F12" i="8"/>
  <c r="J12" i="8"/>
  <c r="N12" i="8"/>
  <c r="R12" i="8"/>
  <c r="V12" i="8"/>
  <c r="E13" i="8"/>
  <c r="I13" i="8"/>
  <c r="M13" i="8"/>
  <c r="Q13" i="8"/>
  <c r="U13" i="8"/>
  <c r="D14" i="8"/>
  <c r="H14" i="8"/>
  <c r="L14" i="8"/>
  <c r="P14" i="8"/>
  <c r="T14" i="8"/>
  <c r="C15" i="8"/>
  <c r="G15" i="8"/>
  <c r="K15" i="8"/>
  <c r="O15" i="8"/>
  <c r="S15" i="8"/>
  <c r="B16" i="8"/>
  <c r="F16" i="8"/>
  <c r="J16" i="8"/>
  <c r="R16" i="8"/>
  <c r="V16" i="8"/>
  <c r="E17" i="8"/>
  <c r="I17" i="8"/>
  <c r="M17" i="8"/>
  <c r="Q17" i="8"/>
  <c r="U17" i="8"/>
  <c r="D18" i="8"/>
  <c r="H18" i="8"/>
  <c r="L18" i="8"/>
  <c r="P18" i="8"/>
  <c r="C19" i="8"/>
  <c r="K19" i="8"/>
  <c r="S19" i="8"/>
  <c r="F20" i="8"/>
  <c r="N20" i="8"/>
  <c r="V20" i="8"/>
  <c r="I21" i="8"/>
  <c r="Q21" i="8"/>
  <c r="D22" i="8"/>
  <c r="L22" i="8"/>
  <c r="T22" i="8"/>
  <c r="D3" i="8"/>
  <c r="H3" i="8"/>
  <c r="L3" i="8"/>
  <c r="P3" i="8"/>
  <c r="T3" i="8"/>
  <c r="C4" i="8"/>
  <c r="G4" i="8"/>
  <c r="K4" i="8"/>
  <c r="O4" i="8"/>
  <c r="S4" i="8"/>
  <c r="B5" i="8"/>
  <c r="F5" i="8"/>
  <c r="J5" i="8"/>
  <c r="N5" i="8"/>
  <c r="R5" i="8"/>
  <c r="V5" i="8"/>
  <c r="E6" i="8"/>
  <c r="I6" i="8"/>
  <c r="M6" i="8"/>
  <c r="Q6" i="8"/>
  <c r="U6" i="8"/>
  <c r="D7" i="8"/>
  <c r="H7" i="8"/>
  <c r="L7" i="8"/>
  <c r="P7" i="8"/>
  <c r="T7" i="8"/>
  <c r="C8" i="8"/>
  <c r="G8" i="8"/>
  <c r="K8" i="8"/>
  <c r="O8" i="8"/>
  <c r="S8" i="8"/>
  <c r="B9" i="8"/>
  <c r="F9" i="8"/>
  <c r="J9" i="8"/>
  <c r="N9" i="8"/>
  <c r="R9" i="8"/>
  <c r="V9" i="8"/>
  <c r="E10" i="8"/>
  <c r="I10" i="8"/>
  <c r="M10" i="8"/>
  <c r="Q10" i="8"/>
  <c r="U10" i="8"/>
  <c r="D11" i="8"/>
  <c r="H11" i="8"/>
  <c r="L11" i="8"/>
  <c r="P11" i="8"/>
  <c r="T11" i="8"/>
  <c r="C12" i="8"/>
  <c r="G12" i="8"/>
  <c r="K12" i="8"/>
  <c r="O12" i="8"/>
  <c r="S12" i="8"/>
  <c r="B13" i="8"/>
  <c r="F13" i="8"/>
  <c r="J13" i="8"/>
  <c r="N13" i="8"/>
  <c r="R13" i="8"/>
  <c r="V13" i="8"/>
  <c r="E14" i="8"/>
  <c r="I14" i="8"/>
  <c r="M14" i="8"/>
  <c r="Q14" i="8"/>
  <c r="U14" i="8"/>
  <c r="D15" i="8"/>
  <c r="H15" i="8"/>
  <c r="L15" i="8"/>
  <c r="P15" i="8"/>
  <c r="T15" i="8"/>
  <c r="C16" i="8"/>
  <c r="G16" i="8"/>
  <c r="K16" i="8"/>
  <c r="O16" i="8"/>
  <c r="S16" i="8"/>
  <c r="B17" i="8"/>
  <c r="F17" i="8"/>
  <c r="J17" i="8"/>
  <c r="N17" i="8"/>
  <c r="R17" i="8"/>
  <c r="V17" i="8"/>
  <c r="E18" i="8"/>
  <c r="I18" i="8"/>
  <c r="M18" i="8"/>
  <c r="Q18" i="8"/>
  <c r="U18" i="8"/>
  <c r="D19" i="8"/>
  <c r="H19" i="8"/>
  <c r="L19" i="8"/>
  <c r="P19" i="8"/>
  <c r="T19" i="8"/>
  <c r="C20" i="8"/>
  <c r="G20" i="8"/>
  <c r="K20" i="8"/>
  <c r="O20" i="8"/>
  <c r="S20" i="8"/>
  <c r="B21" i="8"/>
  <c r="F21" i="8"/>
  <c r="J21" i="8"/>
  <c r="N21" i="8"/>
  <c r="R21" i="8"/>
  <c r="V21" i="8"/>
  <c r="E22" i="8"/>
  <c r="I22" i="8"/>
  <c r="M22" i="8"/>
  <c r="Q22" i="8"/>
  <c r="U22" i="8"/>
  <c r="E3" i="8"/>
  <c r="I3" i="8"/>
  <c r="M3" i="8"/>
  <c r="Q3" i="8"/>
  <c r="U3" i="8"/>
  <c r="D4" i="8"/>
  <c r="H4" i="8"/>
  <c r="L4" i="8"/>
  <c r="P4" i="8"/>
  <c r="T4" i="8"/>
  <c r="C5" i="8"/>
  <c r="G5" i="8"/>
  <c r="K5" i="8"/>
  <c r="O5" i="8"/>
  <c r="S5" i="8"/>
  <c r="B6" i="8"/>
  <c r="F6" i="8"/>
  <c r="J6" i="8"/>
  <c r="N6" i="8"/>
  <c r="R6" i="8"/>
  <c r="V6" i="8"/>
  <c r="I7" i="8"/>
  <c r="D8" i="8"/>
  <c r="U11" i="8"/>
  <c r="F14" i="8"/>
  <c r="L16" i="8"/>
  <c r="R18" i="8"/>
  <c r="C21" i="8"/>
  <c r="E15" i="8"/>
  <c r="M7" i="8"/>
  <c r="H8" i="8"/>
  <c r="S9" i="8"/>
  <c r="N10" i="8"/>
  <c r="I11" i="8"/>
  <c r="D12" i="8"/>
  <c r="T12" i="8"/>
  <c r="O13" i="8"/>
  <c r="U15" i="8"/>
  <c r="K17" i="8"/>
  <c r="V18" i="8"/>
  <c r="L20" i="8"/>
  <c r="R22" i="8"/>
  <c r="Q7" i="8"/>
  <c r="L8" i="8"/>
  <c r="G9" i="8"/>
  <c r="B10" i="8"/>
  <c r="R10" i="8"/>
  <c r="M11" i="8"/>
  <c r="H12" i="8"/>
  <c r="C13" i="8"/>
  <c r="S13" i="8"/>
  <c r="N14" i="8"/>
  <c r="I15" i="8"/>
  <c r="D16" i="8"/>
  <c r="T16" i="8"/>
  <c r="O17" i="8"/>
  <c r="J18" i="8"/>
  <c r="E19" i="8"/>
  <c r="U19" i="8"/>
  <c r="P20" i="8"/>
  <c r="K21" i="8"/>
  <c r="F22" i="8"/>
  <c r="V22" i="8"/>
  <c r="U7" i="8"/>
  <c r="P8" i="8"/>
  <c r="K9" i="8"/>
  <c r="F10" i="8"/>
  <c r="V10" i="8"/>
  <c r="Q11" i="8"/>
  <c r="L12" i="8"/>
  <c r="G13" i="8"/>
  <c r="B14" i="8"/>
  <c r="R14" i="8"/>
  <c r="M15" i="8"/>
  <c r="H16" i="8"/>
  <c r="C17" i="8"/>
  <c r="S17" i="8"/>
  <c r="N18" i="8"/>
  <c r="I19" i="8"/>
  <c r="D20" i="8"/>
  <c r="T20" i="8"/>
  <c r="O21" i="8"/>
  <c r="J22" i="8"/>
  <c r="E7" i="8"/>
  <c r="T8" i="8"/>
  <c r="O9" i="8"/>
  <c r="J10" i="8"/>
  <c r="E11" i="8"/>
  <c r="P12" i="8"/>
  <c r="K13" i="8"/>
  <c r="V14" i="8"/>
  <c r="Q15" i="8"/>
  <c r="G17" i="8"/>
  <c r="B18" i="8"/>
  <c r="M19" i="8"/>
  <c r="H20" i="8"/>
  <c r="S21" i="8"/>
  <c r="N22" i="8"/>
  <c r="C9" i="8"/>
  <c r="J14" i="8"/>
  <c r="P16" i="8"/>
  <c r="F18" i="8"/>
  <c r="Q19" i="8"/>
  <c r="G21" i="8"/>
  <c r="B22" i="8"/>
  <c r="D2" i="8"/>
  <c r="H2" i="8"/>
  <c r="L2" i="8"/>
  <c r="P2" i="8"/>
  <c r="T2" i="8"/>
  <c r="E2" i="8"/>
  <c r="I2" i="8"/>
  <c r="M2" i="8"/>
  <c r="Q2" i="8"/>
  <c r="U2" i="8"/>
  <c r="K2" i="8"/>
  <c r="S2" i="8"/>
  <c r="F2" i="8"/>
  <c r="J2" i="8"/>
  <c r="N2" i="8"/>
  <c r="R2" i="8"/>
  <c r="V2" i="8"/>
  <c r="G2" i="8"/>
  <c r="O2" i="8"/>
  <c r="C2" i="8"/>
  <c r="B2" i="8"/>
  <c r="G4" i="2"/>
  <c r="G6" i="2"/>
  <c r="G8" i="2"/>
  <c r="G10" i="2"/>
  <c r="G12" i="2"/>
  <c r="G14" i="2"/>
  <c r="G16" i="2"/>
  <c r="G18" i="2"/>
  <c r="G20" i="2"/>
  <c r="G22" i="2"/>
  <c r="G5" i="2"/>
  <c r="G9" i="2"/>
  <c r="G11" i="2"/>
  <c r="G13" i="2"/>
  <c r="G15" i="2"/>
  <c r="G17" i="2"/>
  <c r="G19" i="2"/>
  <c r="G21" i="2"/>
  <c r="G7" i="2"/>
  <c r="G3" i="2"/>
  <c r="F3" i="4"/>
  <c r="F7" i="4"/>
  <c r="F11" i="4"/>
  <c r="F15" i="4"/>
  <c r="F19" i="4"/>
  <c r="F4" i="4"/>
  <c r="F8" i="4"/>
  <c r="F12" i="4"/>
  <c r="F16" i="4"/>
  <c r="F20" i="4"/>
  <c r="F5" i="4"/>
  <c r="F9" i="4"/>
  <c r="F13" i="4"/>
  <c r="F17" i="4"/>
  <c r="F6" i="4"/>
  <c r="F10" i="4"/>
  <c r="F14" i="4"/>
  <c r="F18" i="4"/>
  <c r="F2" i="4"/>
  <c r="H3" i="2" l="1"/>
  <c r="I3" i="2" s="1"/>
  <c r="H7" i="2"/>
  <c r="I7" i="2" s="1"/>
  <c r="H21" i="2"/>
  <c r="I21" i="2" s="1"/>
  <c r="H19" i="2"/>
  <c r="I19" i="2" s="1"/>
  <c r="H17" i="2"/>
  <c r="I17" i="2" s="1"/>
  <c r="H15" i="2"/>
  <c r="I15" i="2" s="1"/>
  <c r="H13" i="2"/>
  <c r="I13" i="2" s="1"/>
  <c r="H11" i="2"/>
  <c r="I11" i="2" s="1"/>
  <c r="H9" i="2"/>
  <c r="I9" i="2" s="1"/>
  <c r="H5" i="2"/>
  <c r="I5" i="2" s="1"/>
  <c r="H22" i="2"/>
  <c r="I22" i="2" s="1"/>
  <c r="H20" i="2"/>
  <c r="I20" i="2" s="1"/>
  <c r="H18" i="2"/>
  <c r="I18" i="2" s="1"/>
  <c r="H16" i="2"/>
  <c r="I16" i="2" s="1"/>
  <c r="H14" i="2"/>
  <c r="I14" i="2" s="1"/>
  <c r="H12" i="2"/>
  <c r="I12" i="2" s="1"/>
  <c r="H10" i="2"/>
  <c r="I10" i="2" s="1"/>
  <c r="H8" i="2"/>
  <c r="I8" i="2" s="1"/>
  <c r="H6" i="2"/>
  <c r="I6" i="2" s="1"/>
  <c r="H4" i="2"/>
  <c r="I4" i="2" s="1"/>
  <c r="G18" i="4"/>
  <c r="G14" i="4"/>
  <c r="G10" i="4"/>
  <c r="G6" i="4"/>
  <c r="G17" i="4"/>
  <c r="G13" i="4"/>
  <c r="G9" i="4"/>
  <c r="G5" i="4"/>
  <c r="G20" i="4"/>
  <c r="G16" i="4"/>
  <c r="G12" i="4"/>
  <c r="G8" i="4"/>
  <c r="G19" i="4"/>
  <c r="G15" i="4"/>
  <c r="G11" i="4"/>
  <c r="G7" i="4"/>
  <c r="A15" i="4"/>
  <c r="A14" i="4"/>
  <c r="A13" i="4"/>
  <c r="B15" i="4"/>
  <c r="B14" i="4"/>
  <c r="B13" i="4"/>
  <c r="B11" i="4"/>
  <c r="B10" i="4"/>
  <c r="B9" i="4"/>
  <c r="A11" i="4"/>
  <c r="A10" i="4"/>
  <c r="A9" i="4"/>
  <c r="A7" i="4"/>
  <c r="A6" i="4"/>
  <c r="A5" i="4"/>
  <c r="C28" i="2"/>
  <c r="C27" i="2"/>
  <c r="B28" i="2"/>
  <c r="B27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" i="2"/>
  <c r="D27" i="2" l="1"/>
  <c r="D28" i="2"/>
  <c r="D3" i="1"/>
  <c r="D4" i="1"/>
  <c r="D5" i="1"/>
  <c r="D6" i="1"/>
  <c r="D7" i="1"/>
  <c r="D8" i="1"/>
  <c r="D9" i="1"/>
  <c r="D10" i="1"/>
  <c r="D11" i="1"/>
  <c r="D12" i="1"/>
  <c r="D13" i="1"/>
  <c r="D2" i="1"/>
  <c r="C3" i="1"/>
  <c r="C4" i="1"/>
  <c r="C5" i="1"/>
  <c r="C6" i="1"/>
  <c r="C7" i="1"/>
  <c r="C8" i="1"/>
  <c r="C9" i="1"/>
  <c r="C10" i="1"/>
  <c r="C11" i="1"/>
  <c r="C12" i="1"/>
  <c r="C13" i="1"/>
  <c r="C2" i="1"/>
  <c r="B3" i="1"/>
  <c r="B4" i="1"/>
  <c r="B5" i="1"/>
  <c r="B6" i="1"/>
  <c r="B7" i="1"/>
  <c r="B8" i="1"/>
  <c r="B9" i="1"/>
  <c r="B10" i="1"/>
  <c r="B11" i="1"/>
  <c r="B12" i="1"/>
  <c r="B13" i="1"/>
  <c r="B2" i="1"/>
</calcChain>
</file>

<file path=xl/sharedStrings.xml><?xml version="1.0" encoding="utf-8"?>
<sst xmlns="http://schemas.openxmlformats.org/spreadsheetml/2006/main" count="36" uniqueCount="34">
  <si>
    <t>str</t>
  </si>
  <si>
    <t>eq</t>
  </si>
  <si>
    <t>strong back</t>
  </si>
  <si>
    <t>stronger back</t>
  </si>
  <si>
    <t>level</t>
  </si>
  <si>
    <t>power</t>
  </si>
  <si>
    <t>hp</t>
  </si>
  <si>
    <t>attack/def</t>
  </si>
  <si>
    <t>short blade</t>
  </si>
  <si>
    <t>long blade</t>
  </si>
  <si>
    <t>axe</t>
  </si>
  <si>
    <t>blunt</t>
  </si>
  <si>
    <t>bow</t>
  </si>
  <si>
    <t>shield</t>
  </si>
  <si>
    <t>light arm</t>
  </si>
  <si>
    <t>medium arm</t>
  </si>
  <si>
    <t>heavy arm</t>
  </si>
  <si>
    <t>literacy</t>
  </si>
  <si>
    <t>haggle</t>
  </si>
  <si>
    <t>athletics</t>
  </si>
  <si>
    <t>acrobatics</t>
  </si>
  <si>
    <t>warrior</t>
  </si>
  <si>
    <t>rogue</t>
  </si>
  <si>
    <t>hunter</t>
  </si>
  <si>
    <t>lvl</t>
  </si>
  <si>
    <t>atk/def</t>
  </si>
  <si>
    <t>ratio</t>
  </si>
  <si>
    <t>mod</t>
  </si>
  <si>
    <t>dmg</t>
  </si>
  <si>
    <t>htk</t>
  </si>
  <si>
    <t>atk ratio</t>
  </si>
  <si>
    <t>atk mod</t>
  </si>
  <si>
    <t>def ratio</t>
  </si>
  <si>
    <t>def 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</si>
</sst>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'ratio calc'!$A$4:$A$20</c:f>
              <c:numCache>
                <c:formatCode>General</c:formatCode>
                <c:ptCount val="17"/>
                <c:pt idx="0">
                  <c:v>0.25</c:v>
                </c:pt>
                <c:pt idx="1">
                  <c:v>0.3125</c:v>
                </c:pt>
                <c:pt idx="2">
                  <c:v>0.375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</c:numCache>
            </c:numRef>
          </c:xVal>
          <c:yVal>
            <c:numRef>
              <c:f>'ratio calc'!$B$4:$B$20</c:f>
              <c:numCache>
                <c:formatCode>General</c:formatCode>
                <c:ptCount val="17"/>
                <c:pt idx="0">
                  <c:v>0.125</c:v>
                </c:pt>
                <c:pt idx="1">
                  <c:v>0.15625</c:v>
                </c:pt>
                <c:pt idx="2">
                  <c:v>0.1875</c:v>
                </c:pt>
                <c:pt idx="3">
                  <c:v>0.21875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0.625</c:v>
                </c:pt>
                <c:pt idx="10">
                  <c:v>0.75</c:v>
                </c:pt>
                <c:pt idx="11">
                  <c:v>0.875</c:v>
                </c:pt>
                <c:pt idx="12">
                  <c:v>1</c:v>
                </c:pt>
                <c:pt idx="13">
                  <c:v>1.125</c:v>
                </c:pt>
                <c:pt idx="14">
                  <c:v>1.25</c:v>
                </c:pt>
                <c:pt idx="15">
                  <c:v>1.375</c:v>
                </c:pt>
                <c:pt idx="16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6-480E-ABD0-74C23F038B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'ratio calc'!$A$4:$A$20</c:f>
              <c:numCache>
                <c:formatCode>General</c:formatCode>
                <c:ptCount val="17"/>
                <c:pt idx="0">
                  <c:v>0.25</c:v>
                </c:pt>
                <c:pt idx="1">
                  <c:v>0.3125</c:v>
                </c:pt>
                <c:pt idx="2">
                  <c:v>0.375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</c:numCache>
            </c:numRef>
          </c:xVal>
          <c:yVal>
            <c:numRef>
              <c:f>'ratio calc'!$C$4:$C$20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9B-42FC-A708-B7D1B0530C8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'ratio calc'!$A$4:$A$20</c:f>
              <c:numCache>
                <c:formatCode>General</c:formatCode>
                <c:ptCount val="17"/>
                <c:pt idx="0">
                  <c:v>0.25</c:v>
                </c:pt>
                <c:pt idx="1">
                  <c:v>0.3125</c:v>
                </c:pt>
                <c:pt idx="2">
                  <c:v>0.375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</c:numCache>
            </c:numRef>
          </c:xVal>
          <c:yVal>
            <c:numRef>
              <c:f>'ratio calc'!$D$4:$D$20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9B-42FC-A708-B7D1B0530C8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'ratio calc'!$A$4:$A$20</c:f>
              <c:numCache>
                <c:formatCode>General</c:formatCode>
                <c:ptCount val="17"/>
                <c:pt idx="0">
                  <c:v>0.25</c:v>
                </c:pt>
                <c:pt idx="1">
                  <c:v>0.3125</c:v>
                </c:pt>
                <c:pt idx="2">
                  <c:v>0.375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</c:numCache>
            </c:numRef>
          </c:xVal>
          <c:yVal>
            <c:numRef>
              <c:f>'ratio calc'!$E$4:$E$20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9B-42FC-A708-B7D1B0530C8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'ratio calc'!$A$4:$A$20</c:f>
              <c:numCache>
                <c:formatCode>General</c:formatCode>
                <c:ptCount val="17"/>
                <c:pt idx="0">
                  <c:v>0.25</c:v>
                </c:pt>
                <c:pt idx="1">
                  <c:v>0.3125</c:v>
                </c:pt>
                <c:pt idx="2">
                  <c:v>0.375</c:v>
                </c:pt>
                <c:pt idx="3">
                  <c:v>0.4375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  <c:pt idx="9">
                  <c:v>1.5</c:v>
                </c:pt>
                <c:pt idx="10">
                  <c:v>2</c:v>
                </c:pt>
                <c:pt idx="11">
                  <c:v>2.5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</c:numCache>
            </c:numRef>
          </c:xVal>
          <c:yVal>
            <c:numRef>
              <c:f>'ratio calc'!$F$4:$F$20</c:f>
              <c:numCache>
                <c:formatCode>General</c:formatCode>
                <c:ptCount val="17"/>
                <c:pt idx="0">
                  <c:v>0.125</c:v>
                </c:pt>
                <c:pt idx="1">
                  <c:v>0.15625</c:v>
                </c:pt>
                <c:pt idx="2">
                  <c:v>0.1875</c:v>
                </c:pt>
                <c:pt idx="3">
                  <c:v>0.21875</c:v>
                </c:pt>
                <c:pt idx="4">
                  <c:v>0.25</c:v>
                </c:pt>
                <c:pt idx="5">
                  <c:v>0.3125</c:v>
                </c:pt>
                <c:pt idx="6">
                  <c:v>0.375</c:v>
                </c:pt>
                <c:pt idx="7">
                  <c:v>0.4375</c:v>
                </c:pt>
                <c:pt idx="8">
                  <c:v>0.5</c:v>
                </c:pt>
                <c:pt idx="9">
                  <c:v>0.625</c:v>
                </c:pt>
                <c:pt idx="10">
                  <c:v>0.75</c:v>
                </c:pt>
                <c:pt idx="11">
                  <c:v>0.875</c:v>
                </c:pt>
                <c:pt idx="12">
                  <c:v>1</c:v>
                </c:pt>
                <c:pt idx="13">
                  <c:v>1.125</c:v>
                </c:pt>
                <c:pt idx="14">
                  <c:v>1.25</c:v>
                </c:pt>
                <c:pt idx="15">
                  <c:v>1.375</c:v>
                </c:pt>
                <c:pt idx="16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9B-42FC-A708-B7D1B0530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118832"/>
        <c:axId val="500644656"/>
      </c:scatterChart>
      <c:valAx>
        <c:axId val="29911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0644656"/>
        <c:crosses val="autoZero"/>
        <c:crossBetween val="midCat"/>
      </c:valAx>
      <c:valAx>
        <c:axId val="50064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9911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10</xdr:row>
      <xdr:rowOff>38100</xdr:rowOff>
    </xdr:from>
    <xdr:to>
      <xdr:col>14</xdr:col>
      <xdr:colOff>523875</xdr:colOff>
      <xdr:row>24</xdr:row>
      <xdr:rowOff>114300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134FA610-8487-4EA6-B9E4-7F2ECC11D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D13"/>
  <sheetViews>
    <sheetView tabSelected="1" workbookViewId="0">
      <selection activeCell="J23" sqref="J23"/>
    </sheetView>
  </sheetViews>
  <sheetFormatPr defaultRowHeight="15" x14ac:dyDescent="0.25"/>
  <cols>
    <col min="3" max="3" width="13.42578125" customWidth="1"/>
    <col min="4" max="4" width="13.5703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10</v>
      </c>
      <c r="B2">
        <f>A2*1.5</f>
        <v>15</v>
      </c>
      <c r="C2">
        <f>A2*1.5*1.25</f>
        <v>18.75</v>
      </c>
      <c r="D2">
        <f>A2*1.5*1.5</f>
        <v>22.5</v>
      </c>
    </row>
    <row r="3" spans="1:4" x14ac:dyDescent="0.25">
      <c r="A3">
        <v>20</v>
      </c>
      <c r="B3">
        <f t="shared" ref="B3:B13" si="0">A3*1.5</f>
        <v>30</v>
      </c>
      <c r="C3">
        <f t="shared" ref="C3:C13" si="1">A3*1.5*1.25</f>
        <v>37.5</v>
      </c>
      <c r="D3">
        <f t="shared" ref="D3:D13" si="2">A3*1.5*1.5</f>
        <v>45</v>
      </c>
    </row>
    <row r="4" spans="1:4" x14ac:dyDescent="0.25">
      <c r="A4">
        <v>30</v>
      </c>
      <c r="B4">
        <f t="shared" si="0"/>
        <v>45</v>
      </c>
      <c r="C4">
        <f t="shared" si="1"/>
        <v>56.25</v>
      </c>
      <c r="D4">
        <f t="shared" si="2"/>
        <v>67.5</v>
      </c>
    </row>
    <row r="5" spans="1:4" x14ac:dyDescent="0.25">
      <c r="A5">
        <v>40</v>
      </c>
      <c r="B5">
        <f t="shared" si="0"/>
        <v>60</v>
      </c>
      <c r="C5">
        <f t="shared" si="1"/>
        <v>75</v>
      </c>
      <c r="D5">
        <f t="shared" si="2"/>
        <v>90</v>
      </c>
    </row>
    <row r="6" spans="1:4" x14ac:dyDescent="0.25">
      <c r="A6">
        <v>50</v>
      </c>
      <c r="B6">
        <f t="shared" si="0"/>
        <v>75</v>
      </c>
      <c r="C6">
        <f t="shared" si="1"/>
        <v>93.75</v>
      </c>
      <c r="D6">
        <f t="shared" si="2"/>
        <v>112.5</v>
      </c>
    </row>
    <row r="7" spans="1:4" x14ac:dyDescent="0.25">
      <c r="A7">
        <v>60</v>
      </c>
      <c r="B7">
        <f t="shared" si="0"/>
        <v>90</v>
      </c>
      <c r="C7" s="1">
        <f t="shared" si="1"/>
        <v>112.5</v>
      </c>
      <c r="D7">
        <f t="shared" si="2"/>
        <v>135</v>
      </c>
    </row>
    <row r="8" spans="1:4" x14ac:dyDescent="0.25">
      <c r="A8">
        <v>70</v>
      </c>
      <c r="B8">
        <f t="shared" si="0"/>
        <v>105</v>
      </c>
      <c r="C8" s="1">
        <f t="shared" si="1"/>
        <v>131.25</v>
      </c>
      <c r="D8">
        <f t="shared" si="2"/>
        <v>157.5</v>
      </c>
    </row>
    <row r="9" spans="1:4" x14ac:dyDescent="0.25">
      <c r="A9">
        <v>80</v>
      </c>
      <c r="B9">
        <f t="shared" si="0"/>
        <v>120</v>
      </c>
      <c r="C9" s="1">
        <f t="shared" si="1"/>
        <v>150</v>
      </c>
      <c r="D9" s="1">
        <f t="shared" si="2"/>
        <v>180</v>
      </c>
    </row>
    <row r="10" spans="1:4" x14ac:dyDescent="0.25">
      <c r="A10">
        <v>90</v>
      </c>
      <c r="B10">
        <f t="shared" si="0"/>
        <v>135</v>
      </c>
      <c r="C10" s="1">
        <f t="shared" si="1"/>
        <v>168.75</v>
      </c>
      <c r="D10" s="1">
        <f t="shared" si="2"/>
        <v>202.5</v>
      </c>
    </row>
    <row r="11" spans="1:4" x14ac:dyDescent="0.25">
      <c r="A11">
        <v>100</v>
      </c>
      <c r="B11">
        <f t="shared" si="0"/>
        <v>150</v>
      </c>
      <c r="C11" s="1">
        <f t="shared" si="1"/>
        <v>187.5</v>
      </c>
      <c r="D11" s="1">
        <f t="shared" si="2"/>
        <v>225</v>
      </c>
    </row>
    <row r="12" spans="1:4" x14ac:dyDescent="0.25">
      <c r="A12">
        <v>110</v>
      </c>
      <c r="B12">
        <f t="shared" si="0"/>
        <v>165</v>
      </c>
      <c r="C12" s="1">
        <f t="shared" si="1"/>
        <v>206.25</v>
      </c>
      <c r="D12" s="1">
        <f t="shared" si="2"/>
        <v>247.5</v>
      </c>
    </row>
    <row r="13" spans="1:4" x14ac:dyDescent="0.25">
      <c r="A13">
        <v>120</v>
      </c>
      <c r="B13">
        <f t="shared" si="0"/>
        <v>180</v>
      </c>
      <c r="C13" s="1">
        <f t="shared" si="1"/>
        <v>225</v>
      </c>
      <c r="D13" s="1">
        <f t="shared" si="2"/>
        <v>270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K28"/>
  <sheetViews>
    <sheetView workbookViewId="0">
      <selection activeCell="M7" sqref="M7"/>
    </sheetView>
  </sheetViews>
  <sheetFormatPr defaultRowHeight="15" x14ac:dyDescent="0.25"/>
  <sheetData>
    <row r="1" spans="1:11" x14ac:dyDescent="0.25">
      <c r="A1" t="s">
        <v>4</v>
      </c>
      <c r="B1" t="s">
        <v>5</v>
      </c>
      <c r="D1" t="s">
        <v>6</v>
      </c>
      <c r="E1" t="s">
        <v>7</v>
      </c>
      <c r="F1" t="s">
        <v>30</v>
      </c>
      <c r="G1" t="s">
        <v>31</v>
      </c>
      <c r="H1" t="s">
        <v>28</v>
      </c>
      <c r="I1" t="s">
        <v>29</v>
      </c>
      <c r="J1" t="s">
        <v>32</v>
      </c>
      <c r="K1" t="s">
        <v>33</v>
      </c>
    </row>
    <row r="2" spans="1:11" x14ac:dyDescent="0.25">
      <c r="A2">
        <v>0</v>
      </c>
      <c r="B2">
        <v>1</v>
      </c>
      <c r="C2">
        <v>1</v>
      </c>
      <c r="D2">
        <f>B2*500</f>
        <v>500</v>
      </c>
      <c r="E2">
        <f>B2*100</f>
        <v>100</v>
      </c>
    </row>
    <row r="3" spans="1:11" x14ac:dyDescent="0.25">
      <c r="A3">
        <v>1</v>
      </c>
      <c r="B3">
        <v>1.2</v>
      </c>
      <c r="D3">
        <f t="shared" ref="D3:D22" si="0">B3*500</f>
        <v>600</v>
      </c>
      <c r="E3">
        <f t="shared" ref="E3:E22" si="1">B3*100</f>
        <v>120</v>
      </c>
      <c r="F3">
        <f>E3/E2</f>
        <v>1.2</v>
      </c>
      <c r="G3">
        <f>ObliczMod(F3)</f>
        <v>0.55000000000000004</v>
      </c>
      <c r="H3">
        <f>G3*E3</f>
        <v>66</v>
      </c>
      <c r="I3">
        <f>D2/H3</f>
        <v>7.5757575757575761</v>
      </c>
      <c r="J3">
        <f>E2/E3</f>
        <v>0.83333333333333337</v>
      </c>
    </row>
    <row r="4" spans="1:11" x14ac:dyDescent="0.25">
      <c r="A4">
        <v>2</v>
      </c>
      <c r="B4">
        <v>1.4</v>
      </c>
      <c r="D4">
        <f t="shared" si="0"/>
        <v>700</v>
      </c>
      <c r="E4">
        <f t="shared" si="1"/>
        <v>140</v>
      </c>
      <c r="F4">
        <f t="shared" ref="F4:F22" si="2">E4/E3</f>
        <v>1.1666666666666667</v>
      </c>
      <c r="G4">
        <f t="shared" ref="G4:G22" si="3">ObliczMod(F4)</f>
        <v>0.54166666666666674</v>
      </c>
      <c r="H4">
        <f t="shared" ref="H4:H22" si="4">G4*E4</f>
        <v>75.833333333333343</v>
      </c>
      <c r="I4">
        <f t="shared" ref="I4:I22" si="5">D3/H4</f>
        <v>7.9120879120879115</v>
      </c>
      <c r="J4">
        <f t="shared" ref="J4:J22" si="6">E3/E4</f>
        <v>0.8571428571428571</v>
      </c>
    </row>
    <row r="5" spans="1:11" x14ac:dyDescent="0.25">
      <c r="A5">
        <v>3</v>
      </c>
      <c r="B5">
        <v>1.6</v>
      </c>
      <c r="D5">
        <f t="shared" si="0"/>
        <v>800</v>
      </c>
      <c r="E5">
        <f t="shared" si="1"/>
        <v>160</v>
      </c>
      <c r="F5">
        <f t="shared" si="2"/>
        <v>1.1428571428571428</v>
      </c>
      <c r="G5">
        <f t="shared" si="3"/>
        <v>0.5357142857142857</v>
      </c>
      <c r="H5">
        <f t="shared" si="4"/>
        <v>85.714285714285708</v>
      </c>
      <c r="I5">
        <f t="shared" si="5"/>
        <v>8.1666666666666679</v>
      </c>
      <c r="J5">
        <f t="shared" si="6"/>
        <v>0.875</v>
      </c>
    </row>
    <row r="6" spans="1:11" x14ac:dyDescent="0.25">
      <c r="A6">
        <v>4</v>
      </c>
      <c r="B6">
        <v>1.8</v>
      </c>
      <c r="D6">
        <f t="shared" si="0"/>
        <v>900</v>
      </c>
      <c r="E6">
        <f t="shared" si="1"/>
        <v>180</v>
      </c>
      <c r="F6">
        <f t="shared" si="2"/>
        <v>1.125</v>
      </c>
      <c r="G6">
        <f t="shared" si="3"/>
        <v>0.53125</v>
      </c>
      <c r="H6">
        <f t="shared" si="4"/>
        <v>95.625</v>
      </c>
      <c r="I6">
        <f t="shared" si="5"/>
        <v>8.3660130718954253</v>
      </c>
      <c r="J6">
        <f t="shared" si="6"/>
        <v>0.88888888888888884</v>
      </c>
    </row>
    <row r="7" spans="1:11" x14ac:dyDescent="0.25">
      <c r="A7">
        <v>5</v>
      </c>
      <c r="B7">
        <v>2</v>
      </c>
      <c r="C7">
        <v>2</v>
      </c>
      <c r="D7">
        <f t="shared" si="0"/>
        <v>1000</v>
      </c>
      <c r="E7">
        <f t="shared" si="1"/>
        <v>200</v>
      </c>
      <c r="F7">
        <f t="shared" si="2"/>
        <v>1.1111111111111112</v>
      </c>
      <c r="G7">
        <f t="shared" si="3"/>
        <v>0.52777777777777779</v>
      </c>
      <c r="H7">
        <f t="shared" si="4"/>
        <v>105.55555555555556</v>
      </c>
      <c r="I7">
        <f t="shared" si="5"/>
        <v>8.526315789473685</v>
      </c>
      <c r="J7">
        <f t="shared" si="6"/>
        <v>0.9</v>
      </c>
    </row>
    <row r="8" spans="1:11" x14ac:dyDescent="0.25">
      <c r="A8">
        <v>6</v>
      </c>
      <c r="B8">
        <v>2.2000000000000002</v>
      </c>
      <c r="D8">
        <f t="shared" si="0"/>
        <v>1100</v>
      </c>
      <c r="E8">
        <f t="shared" si="1"/>
        <v>220.00000000000003</v>
      </c>
      <c r="F8">
        <f t="shared" si="2"/>
        <v>1.1000000000000001</v>
      </c>
      <c r="G8">
        <f t="shared" si="3"/>
        <v>0.52500000000000002</v>
      </c>
      <c r="H8">
        <f t="shared" si="4"/>
        <v>115.50000000000001</v>
      </c>
      <c r="I8">
        <f t="shared" si="5"/>
        <v>8.6580086580086562</v>
      </c>
      <c r="J8">
        <f t="shared" si="6"/>
        <v>0.90909090909090895</v>
      </c>
    </row>
    <row r="9" spans="1:11" x14ac:dyDescent="0.25">
      <c r="A9">
        <v>7</v>
      </c>
      <c r="B9">
        <v>2.4</v>
      </c>
      <c r="D9">
        <f t="shared" si="0"/>
        <v>1200</v>
      </c>
      <c r="E9">
        <f t="shared" si="1"/>
        <v>240</v>
      </c>
      <c r="F9">
        <f t="shared" si="2"/>
        <v>1.0909090909090908</v>
      </c>
      <c r="G9">
        <f t="shared" si="3"/>
        <v>0.52272727272727271</v>
      </c>
      <c r="H9">
        <f t="shared" si="4"/>
        <v>125.45454545454545</v>
      </c>
      <c r="I9">
        <f t="shared" si="5"/>
        <v>8.7681159420289863</v>
      </c>
      <c r="J9">
        <f t="shared" si="6"/>
        <v>0.91666666666666674</v>
      </c>
    </row>
    <row r="10" spans="1:11" x14ac:dyDescent="0.25">
      <c r="A10">
        <v>8</v>
      </c>
      <c r="B10">
        <v>2.6</v>
      </c>
      <c r="D10">
        <f t="shared" si="0"/>
        <v>1300</v>
      </c>
      <c r="E10">
        <f t="shared" si="1"/>
        <v>260</v>
      </c>
      <c r="F10">
        <f t="shared" si="2"/>
        <v>1.0833333333333333</v>
      </c>
      <c r="G10">
        <f t="shared" si="3"/>
        <v>0.52083333333333326</v>
      </c>
      <c r="H10">
        <f t="shared" si="4"/>
        <v>135.41666666666666</v>
      </c>
      <c r="I10">
        <f t="shared" si="5"/>
        <v>8.861538461538462</v>
      </c>
      <c r="J10">
        <f t="shared" si="6"/>
        <v>0.92307692307692313</v>
      </c>
    </row>
    <row r="11" spans="1:11" x14ac:dyDescent="0.25">
      <c r="A11">
        <v>9</v>
      </c>
      <c r="B11">
        <v>2.8</v>
      </c>
      <c r="D11">
        <f t="shared" si="0"/>
        <v>1400</v>
      </c>
      <c r="E11">
        <f t="shared" si="1"/>
        <v>280</v>
      </c>
      <c r="F11">
        <f t="shared" si="2"/>
        <v>1.0769230769230769</v>
      </c>
      <c r="G11">
        <f t="shared" si="3"/>
        <v>0.51923076923076916</v>
      </c>
      <c r="H11">
        <f t="shared" si="4"/>
        <v>145.38461538461536</v>
      </c>
      <c r="I11">
        <f t="shared" si="5"/>
        <v>8.9417989417989432</v>
      </c>
      <c r="J11">
        <f t="shared" si="6"/>
        <v>0.9285714285714286</v>
      </c>
    </row>
    <row r="12" spans="1:11" x14ac:dyDescent="0.25">
      <c r="A12">
        <v>10</v>
      </c>
      <c r="B12">
        <v>3</v>
      </c>
      <c r="C12">
        <v>3</v>
      </c>
      <c r="D12">
        <f t="shared" si="0"/>
        <v>1500</v>
      </c>
      <c r="E12">
        <f t="shared" si="1"/>
        <v>300</v>
      </c>
      <c r="F12">
        <f t="shared" si="2"/>
        <v>1.0714285714285714</v>
      </c>
      <c r="G12">
        <f t="shared" si="3"/>
        <v>0.51785714285714279</v>
      </c>
      <c r="H12">
        <f t="shared" si="4"/>
        <v>155.35714285714283</v>
      </c>
      <c r="I12">
        <f t="shared" si="5"/>
        <v>9.0114942528735646</v>
      </c>
      <c r="J12">
        <f t="shared" si="6"/>
        <v>0.93333333333333335</v>
      </c>
    </row>
    <row r="13" spans="1:11" x14ac:dyDescent="0.25">
      <c r="A13">
        <v>11</v>
      </c>
      <c r="B13">
        <v>3.2</v>
      </c>
      <c r="D13">
        <f t="shared" si="0"/>
        <v>1600</v>
      </c>
      <c r="E13">
        <f t="shared" si="1"/>
        <v>320</v>
      </c>
      <c r="F13">
        <f t="shared" si="2"/>
        <v>1.0666666666666667</v>
      </c>
      <c r="G13">
        <f t="shared" si="3"/>
        <v>0.51666666666666661</v>
      </c>
      <c r="H13">
        <f t="shared" si="4"/>
        <v>165.33333333333331</v>
      </c>
      <c r="I13">
        <f t="shared" si="5"/>
        <v>9.0725806451612918</v>
      </c>
      <c r="J13">
        <f t="shared" si="6"/>
        <v>0.9375</v>
      </c>
    </row>
    <row r="14" spans="1:11" x14ac:dyDescent="0.25">
      <c r="A14">
        <v>12</v>
      </c>
      <c r="B14">
        <v>3.4</v>
      </c>
      <c r="D14">
        <f t="shared" si="0"/>
        <v>1700</v>
      </c>
      <c r="E14">
        <f t="shared" si="1"/>
        <v>340</v>
      </c>
      <c r="F14">
        <f t="shared" si="2"/>
        <v>1.0625</v>
      </c>
      <c r="G14">
        <f t="shared" si="3"/>
        <v>0.515625</v>
      </c>
      <c r="H14">
        <f t="shared" si="4"/>
        <v>175.3125</v>
      </c>
      <c r="I14">
        <f t="shared" si="5"/>
        <v>9.1265597147950093</v>
      </c>
      <c r="J14">
        <f t="shared" si="6"/>
        <v>0.94117647058823528</v>
      </c>
    </row>
    <row r="15" spans="1:11" x14ac:dyDescent="0.25">
      <c r="A15">
        <v>13</v>
      </c>
      <c r="B15">
        <v>3.6</v>
      </c>
      <c r="D15">
        <f t="shared" si="0"/>
        <v>1800</v>
      </c>
      <c r="E15">
        <f t="shared" si="1"/>
        <v>360</v>
      </c>
      <c r="F15">
        <f t="shared" si="2"/>
        <v>1.0588235294117647</v>
      </c>
      <c r="G15">
        <f t="shared" si="3"/>
        <v>0.51470588235294112</v>
      </c>
      <c r="H15">
        <f t="shared" si="4"/>
        <v>185.29411764705881</v>
      </c>
      <c r="I15">
        <f t="shared" si="5"/>
        <v>9.1746031746031758</v>
      </c>
      <c r="J15">
        <f t="shared" si="6"/>
        <v>0.94444444444444442</v>
      </c>
    </row>
    <row r="16" spans="1:11" x14ac:dyDescent="0.25">
      <c r="A16">
        <v>14</v>
      </c>
      <c r="B16">
        <v>3.8</v>
      </c>
      <c r="D16">
        <f t="shared" si="0"/>
        <v>1900</v>
      </c>
      <c r="E16">
        <f t="shared" si="1"/>
        <v>380</v>
      </c>
      <c r="F16">
        <f t="shared" si="2"/>
        <v>1.0555555555555556</v>
      </c>
      <c r="G16">
        <f t="shared" si="3"/>
        <v>0.51388888888888884</v>
      </c>
      <c r="H16">
        <f t="shared" si="4"/>
        <v>195.27777777777777</v>
      </c>
      <c r="I16">
        <f t="shared" si="5"/>
        <v>9.217638691322902</v>
      </c>
      <c r="J16">
        <f t="shared" si="6"/>
        <v>0.94736842105263153</v>
      </c>
    </row>
    <row r="17" spans="1:10" x14ac:dyDescent="0.25">
      <c r="A17">
        <v>15</v>
      </c>
      <c r="B17">
        <v>4</v>
      </c>
      <c r="C17">
        <v>4</v>
      </c>
      <c r="D17">
        <f t="shared" si="0"/>
        <v>2000</v>
      </c>
      <c r="E17">
        <f t="shared" si="1"/>
        <v>400</v>
      </c>
      <c r="F17">
        <f t="shared" si="2"/>
        <v>1.0526315789473684</v>
      </c>
      <c r="G17">
        <f t="shared" si="3"/>
        <v>0.51315789473684204</v>
      </c>
      <c r="H17">
        <f t="shared" si="4"/>
        <v>205.26315789473682</v>
      </c>
      <c r="I17">
        <f t="shared" si="5"/>
        <v>9.2564102564102573</v>
      </c>
      <c r="J17">
        <f t="shared" si="6"/>
        <v>0.95</v>
      </c>
    </row>
    <row r="18" spans="1:10" x14ac:dyDescent="0.25">
      <c r="A18">
        <v>16</v>
      </c>
      <c r="B18">
        <v>4.2</v>
      </c>
      <c r="D18">
        <f t="shared" si="0"/>
        <v>2100</v>
      </c>
      <c r="E18">
        <f t="shared" si="1"/>
        <v>420</v>
      </c>
      <c r="F18">
        <f t="shared" si="2"/>
        <v>1.05</v>
      </c>
      <c r="G18">
        <f t="shared" si="3"/>
        <v>0.51249999999999996</v>
      </c>
      <c r="H18">
        <f t="shared" si="4"/>
        <v>215.24999999999997</v>
      </c>
      <c r="I18">
        <f t="shared" si="5"/>
        <v>9.2915214866434397</v>
      </c>
      <c r="J18">
        <f t="shared" si="6"/>
        <v>0.95238095238095233</v>
      </c>
    </row>
    <row r="19" spans="1:10" x14ac:dyDescent="0.25">
      <c r="A19">
        <v>17</v>
      </c>
      <c r="B19">
        <v>4.4000000000000004</v>
      </c>
      <c r="D19">
        <f t="shared" si="0"/>
        <v>2200</v>
      </c>
      <c r="E19">
        <f t="shared" si="1"/>
        <v>440.00000000000006</v>
      </c>
      <c r="F19">
        <f t="shared" si="2"/>
        <v>1.0476190476190477</v>
      </c>
      <c r="G19">
        <f t="shared" si="3"/>
        <v>0.51190476190476186</v>
      </c>
      <c r="H19">
        <f t="shared" si="4"/>
        <v>225.23809523809524</v>
      </c>
      <c r="I19">
        <f t="shared" si="5"/>
        <v>9.3234672304439741</v>
      </c>
      <c r="J19">
        <f t="shared" si="6"/>
        <v>0.95454545454545447</v>
      </c>
    </row>
    <row r="20" spans="1:10" x14ac:dyDescent="0.25">
      <c r="A20">
        <v>18</v>
      </c>
      <c r="B20">
        <v>4.5999999999999996</v>
      </c>
      <c r="D20">
        <f t="shared" si="0"/>
        <v>2300</v>
      </c>
      <c r="E20">
        <f t="shared" si="1"/>
        <v>459.99999999999994</v>
      </c>
      <c r="F20">
        <f t="shared" si="2"/>
        <v>1.0454545454545452</v>
      </c>
      <c r="G20">
        <f t="shared" si="3"/>
        <v>0.51136363636363624</v>
      </c>
      <c r="H20">
        <f t="shared" si="4"/>
        <v>235.22727272727263</v>
      </c>
      <c r="I20">
        <f t="shared" si="5"/>
        <v>9.3526570048309221</v>
      </c>
      <c r="J20">
        <f t="shared" si="6"/>
        <v>0.95652173913043503</v>
      </c>
    </row>
    <row r="21" spans="1:10" x14ac:dyDescent="0.25">
      <c r="A21">
        <v>19</v>
      </c>
      <c r="B21">
        <v>4.8</v>
      </c>
      <c r="D21">
        <f t="shared" si="0"/>
        <v>2400</v>
      </c>
      <c r="E21">
        <f t="shared" si="1"/>
        <v>480</v>
      </c>
      <c r="F21">
        <f t="shared" si="2"/>
        <v>1.0434782608695654</v>
      </c>
      <c r="G21">
        <f t="shared" si="3"/>
        <v>0.51086956521739135</v>
      </c>
      <c r="H21">
        <f t="shared" si="4"/>
        <v>245.21739130434784</v>
      </c>
      <c r="I21">
        <f t="shared" si="5"/>
        <v>9.3794326241134751</v>
      </c>
      <c r="J21">
        <f t="shared" si="6"/>
        <v>0.95833333333333326</v>
      </c>
    </row>
    <row r="22" spans="1:10" x14ac:dyDescent="0.25">
      <c r="A22">
        <v>20</v>
      </c>
      <c r="B22">
        <v>5</v>
      </c>
      <c r="C22">
        <v>5</v>
      </c>
      <c r="D22">
        <f t="shared" si="0"/>
        <v>2500</v>
      </c>
      <c r="E22">
        <f t="shared" si="1"/>
        <v>500</v>
      </c>
      <c r="F22">
        <f t="shared" si="2"/>
        <v>1.0416666666666667</v>
      </c>
      <c r="G22">
        <f t="shared" si="3"/>
        <v>0.51041666666666674</v>
      </c>
      <c r="H22">
        <f t="shared" si="4"/>
        <v>255.20833333333337</v>
      </c>
      <c r="I22">
        <f t="shared" si="5"/>
        <v>9.4040816326530603</v>
      </c>
      <c r="J22">
        <f t="shared" si="6"/>
        <v>0.96</v>
      </c>
    </row>
    <row r="26" spans="1:10" x14ac:dyDescent="0.25">
      <c r="A26" t="s">
        <v>24</v>
      </c>
      <c r="B26" t="s">
        <v>6</v>
      </c>
      <c r="C26" t="s">
        <v>25</v>
      </c>
      <c r="D26" t="s">
        <v>26</v>
      </c>
    </row>
    <row r="27" spans="1:10" x14ac:dyDescent="0.25">
      <c r="A27">
        <v>0</v>
      </c>
      <c r="B27">
        <f ca="1">OFFSET($D$2,A27,0)</f>
        <v>500</v>
      </c>
      <c r="C27">
        <f ca="1">OFFSET($E$2,A27,0)</f>
        <v>100</v>
      </c>
      <c r="D27">
        <f ca="1">C27/C28</f>
        <v>0.5</v>
      </c>
    </row>
    <row r="28" spans="1:10" x14ac:dyDescent="0.25">
      <c r="A28">
        <v>5</v>
      </c>
      <c r="B28">
        <f ca="1">OFFSET($D$2,A28,0)</f>
        <v>1000</v>
      </c>
      <c r="C28">
        <f ca="1">OFFSET($E$2,A28,0)</f>
        <v>200</v>
      </c>
      <c r="D28">
        <f ca="1">C28/C27</f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8"/>
  <dimension ref="A1:V22"/>
  <sheetViews>
    <sheetView workbookViewId="0">
      <selection activeCell="F31" sqref="F31"/>
    </sheetView>
  </sheetViews>
  <sheetFormatPr defaultRowHeight="15" x14ac:dyDescent="0.25"/>
  <sheetData>
    <row r="1" spans="1:22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</row>
    <row r="2" spans="1:22" x14ac:dyDescent="0.25">
      <c r="A2">
        <v>0</v>
      </c>
      <c r="B2">
        <f>Htk(B$1,$A2)</f>
        <v>10</v>
      </c>
      <c r="C2">
        <f>Htk(C$1,$A2)</f>
        <v>7.5757575757575761</v>
      </c>
      <c r="D2">
        <f t="shared" ref="D2:V15" si="0">Htk(D$1,$A2)</f>
        <v>5.9523809523809526</v>
      </c>
      <c r="E2">
        <f t="shared" si="0"/>
        <v>4.8076923076923075</v>
      </c>
      <c r="F2">
        <f t="shared" si="0"/>
        <v>3.9682539682539688</v>
      </c>
      <c r="G2">
        <f t="shared" si="0"/>
        <v>3.3333333333333335</v>
      </c>
      <c r="H2">
        <f t="shared" si="0"/>
        <v>2.8409090909090908</v>
      </c>
      <c r="I2">
        <f t="shared" si="0"/>
        <v>2.4509803921568629</v>
      </c>
      <c r="J2">
        <f t="shared" si="0"/>
        <v>2.1367521367521367</v>
      </c>
      <c r="K2">
        <f t="shared" si="0"/>
        <v>1.8796992481203008</v>
      </c>
      <c r="L2">
        <f t="shared" si="0"/>
        <v>1.6666666666666667</v>
      </c>
      <c r="M2">
        <f t="shared" si="0"/>
        <v>1.5368852459016393</v>
      </c>
      <c r="N2">
        <f t="shared" si="0"/>
        <v>1.4231499051233398</v>
      </c>
      <c r="O2">
        <f t="shared" si="0"/>
        <v>1.3227513227513228</v>
      </c>
      <c r="P2">
        <f t="shared" si="0"/>
        <v>1.2335526315789473</v>
      </c>
      <c r="Q2">
        <f t="shared" si="0"/>
        <v>1.153846153846154</v>
      </c>
      <c r="R2">
        <f t="shared" si="0"/>
        <v>1.082251082251082</v>
      </c>
      <c r="S2">
        <f t="shared" si="0"/>
        <v>1.0176390773405699</v>
      </c>
      <c r="T2">
        <f t="shared" si="0"/>
        <v>0.95907928388746799</v>
      </c>
      <c r="U2">
        <f t="shared" si="0"/>
        <v>0.90579710144927539</v>
      </c>
      <c r="V2">
        <f t="shared" si="0"/>
        <v>0.8571428571428571</v>
      </c>
    </row>
    <row r="3" spans="1:22" x14ac:dyDescent="0.25">
      <c r="A3">
        <v>1</v>
      </c>
      <c r="B3">
        <f t="shared" ref="B3:Q22" si="1">Htk(B$1,$A3)</f>
        <v>14.399999999999999</v>
      </c>
      <c r="C3">
        <f t="shared" si="1"/>
        <v>10</v>
      </c>
      <c r="D3">
        <f t="shared" si="0"/>
        <v>7.9120879120879115</v>
      </c>
      <c r="E3">
        <f t="shared" si="0"/>
        <v>6.4285714285714297</v>
      </c>
      <c r="F3">
        <f t="shared" si="0"/>
        <v>5.333333333333333</v>
      </c>
      <c r="G3">
        <f t="shared" si="0"/>
        <v>4.5</v>
      </c>
      <c r="H3">
        <f t="shared" si="0"/>
        <v>3.8502673796791447</v>
      </c>
      <c r="I3">
        <f t="shared" si="0"/>
        <v>3.3333333333333335</v>
      </c>
      <c r="J3">
        <f t="shared" si="0"/>
        <v>2.9149797570850207</v>
      </c>
      <c r="K3">
        <f t="shared" si="0"/>
        <v>2.5714285714285712</v>
      </c>
      <c r="L3">
        <f t="shared" si="0"/>
        <v>2.2857142857142856</v>
      </c>
      <c r="M3">
        <f t="shared" si="0"/>
        <v>2.0454545454545454</v>
      </c>
      <c r="N3">
        <f t="shared" si="0"/>
        <v>1.8414322250639383</v>
      </c>
      <c r="O3">
        <f t="shared" si="0"/>
        <v>1.6666666666666667</v>
      </c>
      <c r="P3">
        <f t="shared" si="0"/>
        <v>1.5573179524152849</v>
      </c>
      <c r="Q3">
        <f t="shared" si="0"/>
        <v>1.4594594594594597</v>
      </c>
      <c r="R3">
        <f t="shared" si="0"/>
        <v>1.3714285714285712</v>
      </c>
      <c r="S3">
        <f t="shared" si="0"/>
        <v>1.2918660287081338</v>
      </c>
      <c r="T3">
        <f t="shared" si="0"/>
        <v>1.2196499153020892</v>
      </c>
      <c r="U3">
        <f t="shared" si="0"/>
        <v>1.1538461538461537</v>
      </c>
      <c r="V3">
        <f t="shared" si="0"/>
        <v>1.0936708860759492</v>
      </c>
    </row>
    <row r="4" spans="1:22" x14ac:dyDescent="0.25">
      <c r="A4">
        <v>2</v>
      </c>
      <c r="B4">
        <f t="shared" si="1"/>
        <v>19.599999999999998</v>
      </c>
      <c r="C4">
        <f t="shared" si="1"/>
        <v>13.611111111111112</v>
      </c>
      <c r="D4">
        <f t="shared" si="0"/>
        <v>10</v>
      </c>
      <c r="E4">
        <f t="shared" si="0"/>
        <v>8.1666666666666679</v>
      </c>
      <c r="F4">
        <f t="shared" si="0"/>
        <v>6.8055555555555562</v>
      </c>
      <c r="G4">
        <f t="shared" si="0"/>
        <v>5.7647058823529402</v>
      </c>
      <c r="H4">
        <f t="shared" si="0"/>
        <v>4.9494949494949498</v>
      </c>
      <c r="I4">
        <f t="shared" si="0"/>
        <v>4.2982456140350873</v>
      </c>
      <c r="J4">
        <f t="shared" si="0"/>
        <v>3.7692307692307692</v>
      </c>
      <c r="K4">
        <f t="shared" si="0"/>
        <v>3.3333333333333335</v>
      </c>
      <c r="L4">
        <f t="shared" si="0"/>
        <v>2.9696969696969697</v>
      </c>
      <c r="M4">
        <f t="shared" si="0"/>
        <v>2.6630434782608696</v>
      </c>
      <c r="N4">
        <f t="shared" si="0"/>
        <v>2.4019607843137258</v>
      </c>
      <c r="O4">
        <f t="shared" si="0"/>
        <v>2.1777777777777776</v>
      </c>
      <c r="P4">
        <f t="shared" si="0"/>
        <v>1.9838056680161942</v>
      </c>
      <c r="Q4">
        <f t="shared" si="0"/>
        <v>1.8148148148148149</v>
      </c>
      <c r="R4">
        <f t="shared" si="0"/>
        <v>1.6666666666666667</v>
      </c>
      <c r="S4">
        <f t="shared" si="0"/>
        <v>1.572192513368984</v>
      </c>
      <c r="T4">
        <f t="shared" si="0"/>
        <v>1.4863498483316482</v>
      </c>
      <c r="U4">
        <f t="shared" si="0"/>
        <v>1.4080459770114944</v>
      </c>
      <c r="V4">
        <f t="shared" si="0"/>
        <v>1.3363636363636362</v>
      </c>
    </row>
    <row r="5" spans="1:22" x14ac:dyDescent="0.25">
      <c r="A5">
        <v>3</v>
      </c>
      <c r="B5">
        <f t="shared" si="1"/>
        <v>25.6</v>
      </c>
      <c r="C5">
        <f t="shared" si="1"/>
        <v>17.777777777777779</v>
      </c>
      <c r="D5">
        <f t="shared" si="0"/>
        <v>13.061224489795919</v>
      </c>
      <c r="E5">
        <f t="shared" si="0"/>
        <v>10</v>
      </c>
      <c r="F5">
        <f t="shared" si="0"/>
        <v>8.3660130718954253</v>
      </c>
      <c r="G5">
        <f t="shared" si="0"/>
        <v>7.1111111111111107</v>
      </c>
      <c r="H5">
        <f t="shared" si="0"/>
        <v>6.1244019138755981</v>
      </c>
      <c r="I5">
        <f t="shared" si="0"/>
        <v>5.333333333333333</v>
      </c>
      <c r="J5">
        <f t="shared" si="0"/>
        <v>4.6886446886446889</v>
      </c>
      <c r="K5">
        <f t="shared" si="0"/>
        <v>4.1558441558441555</v>
      </c>
      <c r="L5">
        <f t="shared" si="0"/>
        <v>3.7101449275362319</v>
      </c>
      <c r="M5">
        <f t="shared" si="0"/>
        <v>3.3333333333333335</v>
      </c>
      <c r="N5">
        <f t="shared" si="0"/>
        <v>3.0117647058823529</v>
      </c>
      <c r="O5">
        <f t="shared" si="0"/>
        <v>2.7350427350427351</v>
      </c>
      <c r="P5">
        <f t="shared" si="0"/>
        <v>2.4951267056530213</v>
      </c>
      <c r="Q5">
        <f t="shared" si="0"/>
        <v>2.2857142857142856</v>
      </c>
      <c r="R5">
        <f t="shared" si="0"/>
        <v>2.1018062397372743</v>
      </c>
      <c r="S5">
        <f t="shared" si="0"/>
        <v>1.9393939393939394</v>
      </c>
      <c r="T5">
        <f t="shared" si="0"/>
        <v>1.7952314165497896</v>
      </c>
      <c r="U5">
        <f t="shared" si="0"/>
        <v>1.6666666666666667</v>
      </c>
      <c r="V5">
        <f t="shared" si="0"/>
        <v>1.5835051546391752</v>
      </c>
    </row>
    <row r="6" spans="1:22" x14ac:dyDescent="0.25">
      <c r="A6">
        <v>4</v>
      </c>
      <c r="B6">
        <f t="shared" si="1"/>
        <v>32.4</v>
      </c>
      <c r="C6">
        <f t="shared" si="1"/>
        <v>22.5</v>
      </c>
      <c r="D6">
        <f t="shared" si="0"/>
        <v>16.530612244897959</v>
      </c>
      <c r="E6">
        <f t="shared" si="0"/>
        <v>12.65625</v>
      </c>
      <c r="F6">
        <f t="shared" si="0"/>
        <v>10</v>
      </c>
      <c r="G6">
        <f t="shared" si="0"/>
        <v>8.526315789473685</v>
      </c>
      <c r="H6">
        <f t="shared" si="0"/>
        <v>7.3636363636363633</v>
      </c>
      <c r="I6">
        <f t="shared" si="0"/>
        <v>6.4285714285714297</v>
      </c>
      <c r="J6">
        <f t="shared" si="0"/>
        <v>5.6643356643356633</v>
      </c>
      <c r="K6">
        <f t="shared" si="0"/>
        <v>5.0310559006211184</v>
      </c>
      <c r="L6">
        <f t="shared" si="0"/>
        <v>4.4999999999999991</v>
      </c>
      <c r="M6">
        <f t="shared" si="0"/>
        <v>4.05</v>
      </c>
      <c r="N6">
        <f t="shared" si="0"/>
        <v>3.6651583710407243</v>
      </c>
      <c r="O6">
        <f t="shared" si="0"/>
        <v>3.3333333333333335</v>
      </c>
      <c r="P6">
        <f t="shared" si="0"/>
        <v>3.0451127819548875</v>
      </c>
      <c r="Q6">
        <f t="shared" si="0"/>
        <v>2.7931034482758621</v>
      </c>
      <c r="R6">
        <f t="shared" si="0"/>
        <v>2.5714285714285716</v>
      </c>
      <c r="S6">
        <f t="shared" si="0"/>
        <v>2.3753665689149557</v>
      </c>
      <c r="T6">
        <f t="shared" si="0"/>
        <v>2.2010869565217392</v>
      </c>
      <c r="U6">
        <f t="shared" si="0"/>
        <v>2.0454545454545454</v>
      </c>
      <c r="V6">
        <f t="shared" si="0"/>
        <v>1.9058823529411764</v>
      </c>
    </row>
    <row r="7" spans="1:22" x14ac:dyDescent="0.25">
      <c r="A7">
        <v>5</v>
      </c>
      <c r="B7">
        <f t="shared" si="1"/>
        <v>40</v>
      </c>
      <c r="C7">
        <f t="shared" si="1"/>
        <v>27.777777777777779</v>
      </c>
      <c r="D7">
        <f t="shared" si="0"/>
        <v>20.408163265306122</v>
      </c>
      <c r="E7">
        <f t="shared" si="0"/>
        <v>15.625</v>
      </c>
      <c r="F7">
        <f t="shared" si="0"/>
        <v>12.345679012345679</v>
      </c>
      <c r="G7">
        <f t="shared" si="0"/>
        <v>10</v>
      </c>
      <c r="H7">
        <f t="shared" si="0"/>
        <v>8.6580086580086579</v>
      </c>
      <c r="I7">
        <f t="shared" si="0"/>
        <v>7.5757575757575761</v>
      </c>
      <c r="J7">
        <f t="shared" si="0"/>
        <v>6.6889632107023411</v>
      </c>
      <c r="K7">
        <f t="shared" si="0"/>
        <v>5.9523809523809526</v>
      </c>
      <c r="L7">
        <f t="shared" si="0"/>
        <v>5.333333333333333</v>
      </c>
      <c r="M7">
        <f t="shared" si="0"/>
        <v>4.8076923076923075</v>
      </c>
      <c r="N7">
        <f t="shared" si="0"/>
        <v>4.3572984749455328</v>
      </c>
      <c r="O7">
        <f t="shared" si="0"/>
        <v>3.9682539682539688</v>
      </c>
      <c r="P7">
        <f t="shared" si="0"/>
        <v>3.629764065335753</v>
      </c>
      <c r="Q7">
        <f t="shared" si="0"/>
        <v>3.3333333333333335</v>
      </c>
      <c r="R7">
        <f t="shared" si="0"/>
        <v>3.0721966205837172</v>
      </c>
      <c r="S7">
        <f t="shared" si="0"/>
        <v>2.8409090909090908</v>
      </c>
      <c r="T7">
        <f t="shared" si="0"/>
        <v>2.6350461133069829</v>
      </c>
      <c r="U7">
        <f t="shared" si="0"/>
        <v>2.4509803921568629</v>
      </c>
      <c r="V7">
        <f t="shared" si="0"/>
        <v>2.2857142857142856</v>
      </c>
    </row>
    <row r="8" spans="1:22" x14ac:dyDescent="0.25">
      <c r="A8">
        <v>6</v>
      </c>
      <c r="B8">
        <f t="shared" si="1"/>
        <v>48.4</v>
      </c>
      <c r="C8">
        <f t="shared" si="1"/>
        <v>33.611111111111114</v>
      </c>
      <c r="D8">
        <f t="shared" si="0"/>
        <v>24.693877551020407</v>
      </c>
      <c r="E8">
        <f t="shared" si="0"/>
        <v>18.90625</v>
      </c>
      <c r="F8">
        <f t="shared" si="0"/>
        <v>14.93827160493827</v>
      </c>
      <c r="G8">
        <f t="shared" si="0"/>
        <v>12.1</v>
      </c>
      <c r="H8">
        <f t="shared" si="0"/>
        <v>10</v>
      </c>
      <c r="I8">
        <f t="shared" si="0"/>
        <v>8.7681159420289863</v>
      </c>
      <c r="J8">
        <f t="shared" si="0"/>
        <v>7.7564102564102564</v>
      </c>
      <c r="K8">
        <f t="shared" si="0"/>
        <v>6.9142857142857155</v>
      </c>
      <c r="L8">
        <f t="shared" si="0"/>
        <v>6.2051282051282062</v>
      </c>
      <c r="M8">
        <f t="shared" si="0"/>
        <v>5.6018518518518512</v>
      </c>
      <c r="N8">
        <f t="shared" si="0"/>
        <v>5.0840336134453779</v>
      </c>
      <c r="O8">
        <f t="shared" si="0"/>
        <v>4.6360153256704972</v>
      </c>
      <c r="P8">
        <f t="shared" si="0"/>
        <v>4.2456140350877192</v>
      </c>
      <c r="Q8">
        <f t="shared" si="0"/>
        <v>3.903225806451613</v>
      </c>
      <c r="R8">
        <f t="shared" si="0"/>
        <v>3.6011904761904763</v>
      </c>
      <c r="S8">
        <f t="shared" si="0"/>
        <v>3.3333333333333335</v>
      </c>
      <c r="T8">
        <f t="shared" si="0"/>
        <v>3.0946291560102304</v>
      </c>
      <c r="U8">
        <f t="shared" si="0"/>
        <v>2.8809523809523809</v>
      </c>
      <c r="V8">
        <f t="shared" si="0"/>
        <v>2.6888888888888887</v>
      </c>
    </row>
    <row r="9" spans="1:22" x14ac:dyDescent="0.25">
      <c r="A9">
        <v>7</v>
      </c>
      <c r="B9">
        <f t="shared" si="1"/>
        <v>57.599999999999994</v>
      </c>
      <c r="C9">
        <f t="shared" si="1"/>
        <v>40</v>
      </c>
      <c r="D9">
        <f t="shared" si="0"/>
        <v>29.387755102040813</v>
      </c>
      <c r="E9">
        <f t="shared" si="0"/>
        <v>22.500000000000004</v>
      </c>
      <c r="F9">
        <f t="shared" si="0"/>
        <v>17.777777777777779</v>
      </c>
      <c r="G9">
        <f t="shared" si="0"/>
        <v>14.399999999999999</v>
      </c>
      <c r="H9">
        <f t="shared" si="0"/>
        <v>11.900826446280993</v>
      </c>
      <c r="I9">
        <f t="shared" si="0"/>
        <v>10</v>
      </c>
      <c r="J9">
        <f t="shared" si="0"/>
        <v>8.861538461538462</v>
      </c>
      <c r="K9">
        <f t="shared" si="0"/>
        <v>7.9120879120879115</v>
      </c>
      <c r="L9">
        <f t="shared" si="0"/>
        <v>7.1111111111111107</v>
      </c>
      <c r="M9">
        <f t="shared" si="0"/>
        <v>6.4285714285714297</v>
      </c>
      <c r="N9">
        <f t="shared" si="0"/>
        <v>5.8417849898580112</v>
      </c>
      <c r="O9">
        <f t="shared" si="0"/>
        <v>5.333333333333333</v>
      </c>
      <c r="P9">
        <f t="shared" si="0"/>
        <v>4.8896434634974542</v>
      </c>
      <c r="Q9">
        <f t="shared" si="0"/>
        <v>4.5</v>
      </c>
      <c r="R9">
        <f t="shared" si="0"/>
        <v>4.1558441558441555</v>
      </c>
      <c r="S9">
        <f t="shared" si="0"/>
        <v>3.8502673796791447</v>
      </c>
      <c r="T9">
        <f t="shared" si="0"/>
        <v>3.5776397515527947</v>
      </c>
      <c r="U9">
        <f t="shared" si="0"/>
        <v>3.3333333333333335</v>
      </c>
      <c r="V9">
        <f t="shared" si="0"/>
        <v>3.1135135135135132</v>
      </c>
    </row>
    <row r="10" spans="1:22" x14ac:dyDescent="0.25">
      <c r="A10">
        <v>8</v>
      </c>
      <c r="B10">
        <f t="shared" si="1"/>
        <v>67.599999999999994</v>
      </c>
      <c r="C10">
        <f t="shared" si="1"/>
        <v>46.944444444444443</v>
      </c>
      <c r="D10">
        <f t="shared" si="0"/>
        <v>34.489795918367349</v>
      </c>
      <c r="E10">
        <f t="shared" si="0"/>
        <v>26.40625</v>
      </c>
      <c r="F10">
        <f t="shared" si="0"/>
        <v>20.8641975308642</v>
      </c>
      <c r="G10">
        <f t="shared" si="0"/>
        <v>16.899999999999999</v>
      </c>
      <c r="H10">
        <f t="shared" si="0"/>
        <v>13.96694214876033</v>
      </c>
      <c r="I10">
        <f t="shared" si="0"/>
        <v>11.736111111111111</v>
      </c>
      <c r="J10">
        <f t="shared" si="0"/>
        <v>10</v>
      </c>
      <c r="K10">
        <f t="shared" si="0"/>
        <v>8.9417989417989432</v>
      </c>
      <c r="L10">
        <f t="shared" si="0"/>
        <v>8.0476190476190492</v>
      </c>
      <c r="M10">
        <f t="shared" si="0"/>
        <v>7.2844827586206904</v>
      </c>
      <c r="N10">
        <f t="shared" si="0"/>
        <v>6.6274509803921573</v>
      </c>
      <c r="O10">
        <f t="shared" si="0"/>
        <v>6.0573476702508957</v>
      </c>
      <c r="P10">
        <f t="shared" si="0"/>
        <v>5.5592105263157894</v>
      </c>
      <c r="Q10">
        <f t="shared" si="0"/>
        <v>5.1212121212121211</v>
      </c>
      <c r="R10">
        <f t="shared" si="0"/>
        <v>4.7338935574229684</v>
      </c>
      <c r="S10">
        <f t="shared" si="0"/>
        <v>4.3896103896103895</v>
      </c>
      <c r="T10">
        <f t="shared" si="0"/>
        <v>4.0821256038647347</v>
      </c>
      <c r="U10">
        <f t="shared" si="0"/>
        <v>3.8063063063063063</v>
      </c>
      <c r="V10">
        <f t="shared" si="0"/>
        <v>3.5578947368421048</v>
      </c>
    </row>
    <row r="11" spans="1:22" x14ac:dyDescent="0.25">
      <c r="A11">
        <v>9</v>
      </c>
      <c r="B11">
        <f t="shared" si="1"/>
        <v>78.399999999999991</v>
      </c>
      <c r="C11">
        <f t="shared" si="1"/>
        <v>54.44444444444445</v>
      </c>
      <c r="D11">
        <f t="shared" si="0"/>
        <v>40</v>
      </c>
      <c r="E11">
        <f t="shared" si="0"/>
        <v>30.625000000000004</v>
      </c>
      <c r="F11">
        <f t="shared" si="0"/>
        <v>24.197530864197528</v>
      </c>
      <c r="G11">
        <f t="shared" si="0"/>
        <v>19.599999999999998</v>
      </c>
      <c r="H11">
        <f t="shared" si="0"/>
        <v>16.198347107438018</v>
      </c>
      <c r="I11">
        <f t="shared" si="0"/>
        <v>13.611111111111112</v>
      </c>
      <c r="J11">
        <f t="shared" si="0"/>
        <v>11.597633136094673</v>
      </c>
      <c r="K11">
        <f t="shared" si="0"/>
        <v>10</v>
      </c>
      <c r="L11">
        <f t="shared" si="0"/>
        <v>9.0114942528735646</v>
      </c>
      <c r="M11">
        <f t="shared" si="0"/>
        <v>8.1666666666666679</v>
      </c>
      <c r="N11">
        <f t="shared" si="0"/>
        <v>7.4383301707779879</v>
      </c>
      <c r="O11">
        <f t="shared" si="0"/>
        <v>6.8055555555555562</v>
      </c>
      <c r="P11">
        <f t="shared" si="0"/>
        <v>6.2519936204146722</v>
      </c>
      <c r="Q11">
        <f t="shared" si="0"/>
        <v>5.7647058823529402</v>
      </c>
      <c r="R11">
        <f t="shared" si="0"/>
        <v>5.333333333333333</v>
      </c>
      <c r="S11">
        <f t="shared" si="0"/>
        <v>4.9494949494949498</v>
      </c>
      <c r="T11">
        <f t="shared" si="0"/>
        <v>4.6063454759106932</v>
      </c>
      <c r="U11">
        <f t="shared" si="0"/>
        <v>4.2982456140350873</v>
      </c>
      <c r="V11">
        <f t="shared" si="0"/>
        <v>4.0205128205128204</v>
      </c>
    </row>
    <row r="12" spans="1:22" x14ac:dyDescent="0.25">
      <c r="A12">
        <v>10</v>
      </c>
      <c r="B12">
        <f t="shared" si="1"/>
        <v>90.000000000000014</v>
      </c>
      <c r="C12">
        <f t="shared" si="1"/>
        <v>62.5</v>
      </c>
      <c r="D12">
        <f t="shared" si="0"/>
        <v>45.91836734693878</v>
      </c>
      <c r="E12">
        <f t="shared" si="0"/>
        <v>35.15625</v>
      </c>
      <c r="F12">
        <f t="shared" si="0"/>
        <v>27.777777777777779</v>
      </c>
      <c r="G12">
        <f t="shared" si="0"/>
        <v>22.500000000000004</v>
      </c>
      <c r="H12">
        <f t="shared" si="0"/>
        <v>18.595041322314053</v>
      </c>
      <c r="I12">
        <f t="shared" si="0"/>
        <v>15.625</v>
      </c>
      <c r="J12">
        <f t="shared" si="0"/>
        <v>13.31360946745562</v>
      </c>
      <c r="K12">
        <f t="shared" si="0"/>
        <v>11.479591836734695</v>
      </c>
      <c r="L12">
        <f t="shared" si="0"/>
        <v>10</v>
      </c>
      <c r="M12">
        <f t="shared" si="0"/>
        <v>9.0725806451612918</v>
      </c>
      <c r="N12">
        <f t="shared" si="0"/>
        <v>8.2720588235294112</v>
      </c>
      <c r="O12">
        <f t="shared" si="0"/>
        <v>7.5757575757575744</v>
      </c>
      <c r="P12">
        <f t="shared" si="0"/>
        <v>6.9659442724458209</v>
      </c>
      <c r="Q12">
        <f t="shared" si="0"/>
        <v>6.4285714285714288</v>
      </c>
      <c r="R12">
        <f t="shared" si="0"/>
        <v>5.9523809523809526</v>
      </c>
      <c r="S12">
        <f t="shared" si="0"/>
        <v>5.5282555282555279</v>
      </c>
      <c r="T12">
        <f t="shared" si="0"/>
        <v>5.1487414187643026</v>
      </c>
      <c r="U12">
        <f t="shared" si="0"/>
        <v>4.8076923076923075</v>
      </c>
      <c r="V12">
        <f t="shared" si="0"/>
        <v>4.4999999999999991</v>
      </c>
    </row>
    <row r="13" spans="1:22" x14ac:dyDescent="0.25">
      <c r="A13">
        <v>11</v>
      </c>
      <c r="B13">
        <f t="shared" si="1"/>
        <v>102.4</v>
      </c>
      <c r="C13">
        <f t="shared" si="1"/>
        <v>71.111111111111114</v>
      </c>
      <c r="D13">
        <f t="shared" si="0"/>
        <v>52.244897959183675</v>
      </c>
      <c r="E13">
        <f t="shared" si="0"/>
        <v>40</v>
      </c>
      <c r="F13">
        <f t="shared" si="0"/>
        <v>31.604938271604937</v>
      </c>
      <c r="G13">
        <f t="shared" si="0"/>
        <v>25.6</v>
      </c>
      <c r="H13">
        <f t="shared" si="0"/>
        <v>21.15702479338843</v>
      </c>
      <c r="I13">
        <f t="shared" si="0"/>
        <v>17.777777777777779</v>
      </c>
      <c r="J13">
        <f t="shared" si="0"/>
        <v>15.147928994082839</v>
      </c>
      <c r="K13">
        <f t="shared" si="0"/>
        <v>13.061224489795919</v>
      </c>
      <c r="L13">
        <f t="shared" si="0"/>
        <v>11.377777777777778</v>
      </c>
      <c r="M13">
        <f t="shared" si="0"/>
        <v>10</v>
      </c>
      <c r="N13">
        <f t="shared" si="0"/>
        <v>9.1265597147950093</v>
      </c>
      <c r="O13">
        <f t="shared" si="0"/>
        <v>8.3660130718954253</v>
      </c>
      <c r="P13">
        <f t="shared" si="0"/>
        <v>7.6992481203007515</v>
      </c>
      <c r="Q13">
        <f t="shared" si="0"/>
        <v>7.1111111111111107</v>
      </c>
      <c r="R13">
        <f t="shared" si="0"/>
        <v>6.589446589446589</v>
      </c>
      <c r="S13">
        <f t="shared" si="0"/>
        <v>6.1244019138755981</v>
      </c>
      <c r="T13">
        <f t="shared" si="0"/>
        <v>5.7079152731326648</v>
      </c>
      <c r="U13">
        <f t="shared" si="0"/>
        <v>5.333333333333333</v>
      </c>
      <c r="V13">
        <f t="shared" si="0"/>
        <v>4.9951219512195122</v>
      </c>
    </row>
    <row r="14" spans="1:22" x14ac:dyDescent="0.25">
      <c r="A14">
        <v>12</v>
      </c>
      <c r="B14">
        <f t="shared" si="1"/>
        <v>115.6</v>
      </c>
      <c r="C14">
        <f t="shared" si="1"/>
        <v>80.277777777777771</v>
      </c>
      <c r="D14">
        <f t="shared" si="0"/>
        <v>58.979591836734699</v>
      </c>
      <c r="E14">
        <f t="shared" si="0"/>
        <v>45.15625</v>
      </c>
      <c r="F14">
        <f t="shared" si="0"/>
        <v>35.679012345679013</v>
      </c>
      <c r="G14">
        <f t="shared" si="0"/>
        <v>28.9</v>
      </c>
      <c r="H14">
        <f t="shared" si="0"/>
        <v>23.884297520661153</v>
      </c>
      <c r="I14">
        <f t="shared" si="0"/>
        <v>20.069444444444443</v>
      </c>
      <c r="J14">
        <f t="shared" si="0"/>
        <v>17.100591715976332</v>
      </c>
      <c r="K14">
        <f t="shared" si="0"/>
        <v>14.744897959183675</v>
      </c>
      <c r="L14">
        <f t="shared" si="0"/>
        <v>12.844444444444445</v>
      </c>
      <c r="M14">
        <f t="shared" si="0"/>
        <v>11.2890625</v>
      </c>
      <c r="N14">
        <f t="shared" si="0"/>
        <v>10</v>
      </c>
      <c r="O14">
        <f t="shared" si="0"/>
        <v>9.1746031746031758</v>
      </c>
      <c r="P14">
        <f t="shared" si="0"/>
        <v>8.4502923976608191</v>
      </c>
      <c r="Q14">
        <f t="shared" si="0"/>
        <v>7.8108108108108096</v>
      </c>
      <c r="R14">
        <f t="shared" si="0"/>
        <v>7.2431077694235588</v>
      </c>
      <c r="S14">
        <f t="shared" si="0"/>
        <v>6.736596736596737</v>
      </c>
      <c r="T14">
        <f t="shared" si="0"/>
        <v>6.2826086956521729</v>
      </c>
      <c r="U14">
        <f t="shared" si="0"/>
        <v>5.8739837398373975</v>
      </c>
      <c r="V14">
        <f t="shared" si="0"/>
        <v>5.5047619047619047</v>
      </c>
    </row>
    <row r="15" spans="1:22" x14ac:dyDescent="0.25">
      <c r="A15">
        <v>13</v>
      </c>
      <c r="B15">
        <f t="shared" si="1"/>
        <v>129.6</v>
      </c>
      <c r="C15">
        <f t="shared" si="1"/>
        <v>90</v>
      </c>
      <c r="D15">
        <f t="shared" si="0"/>
        <v>66.122448979591837</v>
      </c>
      <c r="E15">
        <f t="shared" si="0"/>
        <v>50.625</v>
      </c>
      <c r="F15">
        <f t="shared" si="0"/>
        <v>40</v>
      </c>
      <c r="G15">
        <f t="shared" si="0"/>
        <v>32.4</v>
      </c>
      <c r="H15">
        <f t="shared" si="0"/>
        <v>26.776859504132229</v>
      </c>
      <c r="I15">
        <f t="shared" si="0"/>
        <v>22.5</v>
      </c>
      <c r="J15">
        <f t="shared" si="0"/>
        <v>19.171597633136095</v>
      </c>
      <c r="K15">
        <f t="shared" si="0"/>
        <v>16.530612244897959</v>
      </c>
      <c r="L15">
        <f t="shared" ref="L15:V22" si="2">Htk(L$1,$A15)</f>
        <v>14.4</v>
      </c>
      <c r="M15">
        <f t="shared" si="2"/>
        <v>12.65625</v>
      </c>
      <c r="N15">
        <f t="shared" si="2"/>
        <v>11.211072664359863</v>
      </c>
      <c r="O15">
        <f t="shared" si="2"/>
        <v>10</v>
      </c>
      <c r="P15">
        <f t="shared" si="2"/>
        <v>9.217638691322902</v>
      </c>
      <c r="Q15">
        <f t="shared" si="2"/>
        <v>8.526315789473685</v>
      </c>
      <c r="R15">
        <f t="shared" si="2"/>
        <v>7.9120879120879115</v>
      </c>
      <c r="S15">
        <f t="shared" si="2"/>
        <v>7.3636363636363633</v>
      </c>
      <c r="T15">
        <f t="shared" si="2"/>
        <v>6.871686108165429</v>
      </c>
      <c r="U15">
        <f t="shared" si="2"/>
        <v>6.4285714285714297</v>
      </c>
      <c r="V15">
        <f t="shared" si="2"/>
        <v>6.0279069767441866</v>
      </c>
    </row>
    <row r="16" spans="1:22" x14ac:dyDescent="0.25">
      <c r="A16">
        <v>14</v>
      </c>
      <c r="B16">
        <f t="shared" si="1"/>
        <v>144.4</v>
      </c>
      <c r="C16">
        <f t="shared" si="1"/>
        <v>100.27777777777779</v>
      </c>
      <c r="D16">
        <f t="shared" si="1"/>
        <v>73.673469387755105</v>
      </c>
      <c r="E16">
        <f t="shared" si="1"/>
        <v>56.40625</v>
      </c>
      <c r="F16">
        <f t="shared" si="1"/>
        <v>44.567901234567906</v>
      </c>
      <c r="G16">
        <f t="shared" si="1"/>
        <v>36.1</v>
      </c>
      <c r="H16">
        <f t="shared" si="1"/>
        <v>29.834710743801651</v>
      </c>
      <c r="I16">
        <f t="shared" si="1"/>
        <v>25.069444444444446</v>
      </c>
      <c r="J16">
        <f t="shared" si="1"/>
        <v>21.360946745562131</v>
      </c>
      <c r="K16">
        <f t="shared" si="1"/>
        <v>18.418367346938776</v>
      </c>
      <c r="L16">
        <f t="shared" si="1"/>
        <v>16.044444444444444</v>
      </c>
      <c r="M16">
        <f t="shared" si="1"/>
        <v>14.1015625</v>
      </c>
      <c r="N16">
        <f t="shared" si="1"/>
        <v>12.491349480968857</v>
      </c>
      <c r="O16">
        <f t="shared" si="1"/>
        <v>11.141975308641976</v>
      </c>
      <c r="P16">
        <f t="shared" si="1"/>
        <v>10</v>
      </c>
      <c r="Q16">
        <f t="shared" si="1"/>
        <v>9.2564102564102573</v>
      </c>
      <c r="R16">
        <f t="shared" si="2"/>
        <v>8.5952380952380949</v>
      </c>
      <c r="S16">
        <f t="shared" si="2"/>
        <v>8.004434589800443</v>
      </c>
      <c r="T16">
        <f t="shared" si="2"/>
        <v>7.4741200828157357</v>
      </c>
      <c r="U16">
        <f t="shared" si="2"/>
        <v>6.9961240310077519</v>
      </c>
      <c r="V16">
        <f t="shared" si="2"/>
        <v>6.5636363636363644</v>
      </c>
    </row>
    <row r="17" spans="1:22" x14ac:dyDescent="0.25">
      <c r="A17">
        <v>15</v>
      </c>
      <c r="B17">
        <f t="shared" si="1"/>
        <v>160</v>
      </c>
      <c r="C17">
        <f t="shared" si="1"/>
        <v>111.11111111111111</v>
      </c>
      <c r="D17">
        <f t="shared" si="1"/>
        <v>81.632653061224488</v>
      </c>
      <c r="E17">
        <f t="shared" si="1"/>
        <v>62.5</v>
      </c>
      <c r="F17">
        <f t="shared" si="1"/>
        <v>49.382716049382715</v>
      </c>
      <c r="G17">
        <f t="shared" si="1"/>
        <v>40</v>
      </c>
      <c r="H17">
        <f t="shared" si="1"/>
        <v>33.057851239669418</v>
      </c>
      <c r="I17">
        <f t="shared" si="1"/>
        <v>27.777777777777779</v>
      </c>
      <c r="J17">
        <f t="shared" si="1"/>
        <v>23.668639053254438</v>
      </c>
      <c r="K17">
        <f t="shared" si="1"/>
        <v>20.408163265306122</v>
      </c>
      <c r="L17">
        <f t="shared" si="1"/>
        <v>17.777777777777779</v>
      </c>
      <c r="M17">
        <f t="shared" si="1"/>
        <v>15.625</v>
      </c>
      <c r="N17">
        <f t="shared" si="1"/>
        <v>13.84083044982699</v>
      </c>
      <c r="O17">
        <f t="shared" si="1"/>
        <v>12.345679012345679</v>
      </c>
      <c r="P17">
        <f t="shared" si="1"/>
        <v>11.0803324099723</v>
      </c>
      <c r="Q17">
        <f t="shared" si="1"/>
        <v>10</v>
      </c>
      <c r="R17">
        <f t="shared" si="2"/>
        <v>9.2915214866434397</v>
      </c>
      <c r="S17">
        <f t="shared" si="2"/>
        <v>8.6580086580086579</v>
      </c>
      <c r="T17">
        <f t="shared" si="2"/>
        <v>8.0889787664307384</v>
      </c>
      <c r="U17">
        <f t="shared" si="2"/>
        <v>7.5757575757575761</v>
      </c>
      <c r="V17">
        <f t="shared" si="2"/>
        <v>7.1111111111111107</v>
      </c>
    </row>
    <row r="18" spans="1:22" x14ac:dyDescent="0.25">
      <c r="A18">
        <v>16</v>
      </c>
      <c r="B18">
        <f t="shared" si="1"/>
        <v>168</v>
      </c>
      <c r="C18">
        <f t="shared" si="1"/>
        <v>122.5</v>
      </c>
      <c r="D18">
        <f t="shared" si="1"/>
        <v>90</v>
      </c>
      <c r="E18">
        <f t="shared" si="1"/>
        <v>68.90625</v>
      </c>
      <c r="F18">
        <f t="shared" si="1"/>
        <v>54.44444444444445</v>
      </c>
      <c r="G18">
        <f t="shared" si="1"/>
        <v>44.100000000000009</v>
      </c>
      <c r="H18">
        <f t="shared" si="1"/>
        <v>36.446280991735534</v>
      </c>
      <c r="I18">
        <f t="shared" si="1"/>
        <v>30.625</v>
      </c>
      <c r="J18">
        <f t="shared" si="1"/>
        <v>26.094674556213015</v>
      </c>
      <c r="K18">
        <f t="shared" si="1"/>
        <v>22.5</v>
      </c>
      <c r="L18">
        <f t="shared" si="1"/>
        <v>19.600000000000001</v>
      </c>
      <c r="M18">
        <f t="shared" si="1"/>
        <v>17.2265625</v>
      </c>
      <c r="N18">
        <f t="shared" si="1"/>
        <v>15.259515570934257</v>
      </c>
      <c r="O18">
        <f t="shared" si="1"/>
        <v>13.611111111111112</v>
      </c>
      <c r="P18">
        <f t="shared" si="1"/>
        <v>12.21606648199446</v>
      </c>
      <c r="Q18">
        <f t="shared" si="1"/>
        <v>11.025000000000002</v>
      </c>
      <c r="R18">
        <f t="shared" si="2"/>
        <v>10</v>
      </c>
      <c r="S18">
        <f t="shared" si="2"/>
        <v>9.3234672304439759</v>
      </c>
      <c r="T18">
        <f t="shared" si="2"/>
        <v>8.7154150197628457</v>
      </c>
      <c r="U18">
        <f t="shared" si="2"/>
        <v>8.1666666666666679</v>
      </c>
      <c r="V18">
        <f t="shared" si="2"/>
        <v>7.6695652173913027</v>
      </c>
    </row>
    <row r="19" spans="1:22" x14ac:dyDescent="0.25">
      <c r="A19">
        <v>17</v>
      </c>
      <c r="B19">
        <f t="shared" si="1"/>
        <v>176</v>
      </c>
      <c r="C19">
        <f t="shared" si="1"/>
        <v>134.44444444444446</v>
      </c>
      <c r="D19">
        <f t="shared" si="1"/>
        <v>98.775510204081627</v>
      </c>
      <c r="E19">
        <f t="shared" si="1"/>
        <v>75.625</v>
      </c>
      <c r="F19">
        <f t="shared" si="1"/>
        <v>59.753086419753082</v>
      </c>
      <c r="G19">
        <f t="shared" si="1"/>
        <v>48.4</v>
      </c>
      <c r="H19">
        <f t="shared" si="1"/>
        <v>40</v>
      </c>
      <c r="I19">
        <f t="shared" si="1"/>
        <v>33.611111111111114</v>
      </c>
      <c r="J19">
        <f t="shared" si="1"/>
        <v>28.639053254437865</v>
      </c>
      <c r="K19">
        <f t="shared" si="1"/>
        <v>24.693877551020407</v>
      </c>
      <c r="L19">
        <f t="shared" si="1"/>
        <v>21.511111111111113</v>
      </c>
      <c r="M19">
        <f t="shared" si="1"/>
        <v>18.90625</v>
      </c>
      <c r="N19">
        <f t="shared" si="1"/>
        <v>16.747404844290656</v>
      </c>
      <c r="O19">
        <f t="shared" si="1"/>
        <v>14.93827160493827</v>
      </c>
      <c r="P19">
        <f t="shared" si="1"/>
        <v>13.407202216066482</v>
      </c>
      <c r="Q19">
        <f t="shared" si="1"/>
        <v>12.1</v>
      </c>
      <c r="R19">
        <f t="shared" si="2"/>
        <v>10.975056689342402</v>
      </c>
      <c r="S19">
        <f t="shared" si="2"/>
        <v>10</v>
      </c>
      <c r="T19">
        <f t="shared" si="2"/>
        <v>9.3526570048309186</v>
      </c>
      <c r="U19">
        <f t="shared" si="2"/>
        <v>8.7681159420289863</v>
      </c>
      <c r="V19">
        <f t="shared" si="2"/>
        <v>8.238297872340425</v>
      </c>
    </row>
    <row r="20" spans="1:22" x14ac:dyDescent="0.25">
      <c r="A20">
        <v>18</v>
      </c>
      <c r="B20">
        <f t="shared" si="1"/>
        <v>184</v>
      </c>
      <c r="C20">
        <f t="shared" si="1"/>
        <v>146.94444444444443</v>
      </c>
      <c r="D20">
        <f t="shared" si="1"/>
        <v>107.95918367346938</v>
      </c>
      <c r="E20">
        <f t="shared" si="1"/>
        <v>82.65625</v>
      </c>
      <c r="F20">
        <f t="shared" si="1"/>
        <v>65.308641975308632</v>
      </c>
      <c r="G20">
        <f t="shared" si="1"/>
        <v>52.9</v>
      </c>
      <c r="H20">
        <f t="shared" si="1"/>
        <v>43.719008264462808</v>
      </c>
      <c r="I20">
        <f t="shared" si="1"/>
        <v>36.736111111111107</v>
      </c>
      <c r="J20">
        <f t="shared" si="1"/>
        <v>31.301775147928993</v>
      </c>
      <c r="K20">
        <f t="shared" si="1"/>
        <v>26.989795918367346</v>
      </c>
      <c r="L20">
        <f t="shared" si="1"/>
        <v>23.511111111111113</v>
      </c>
      <c r="M20">
        <f t="shared" si="1"/>
        <v>20.6640625</v>
      </c>
      <c r="N20">
        <f t="shared" si="1"/>
        <v>18.304498269896197</v>
      </c>
      <c r="O20">
        <f t="shared" si="1"/>
        <v>16.327160493827158</v>
      </c>
      <c r="P20">
        <f t="shared" si="1"/>
        <v>14.653739612188366</v>
      </c>
      <c r="Q20">
        <f t="shared" si="1"/>
        <v>13.225</v>
      </c>
      <c r="R20">
        <f t="shared" si="2"/>
        <v>11.995464852607711</v>
      </c>
      <c r="S20">
        <f t="shared" si="2"/>
        <v>10.929752066115702</v>
      </c>
      <c r="T20">
        <f t="shared" si="2"/>
        <v>10</v>
      </c>
      <c r="U20">
        <f t="shared" si="2"/>
        <v>9.3794326241134751</v>
      </c>
      <c r="V20">
        <f t="shared" si="2"/>
        <v>8.8166666666666664</v>
      </c>
    </row>
    <row r="21" spans="1:22" x14ac:dyDescent="0.25">
      <c r="A21">
        <v>19</v>
      </c>
      <c r="B21">
        <f t="shared" si="1"/>
        <v>192</v>
      </c>
      <c r="C21">
        <f t="shared" si="1"/>
        <v>160</v>
      </c>
      <c r="D21">
        <f t="shared" si="1"/>
        <v>117.55102040816325</v>
      </c>
      <c r="E21">
        <f t="shared" si="1"/>
        <v>90.000000000000014</v>
      </c>
      <c r="F21">
        <f t="shared" si="1"/>
        <v>71.111111111111114</v>
      </c>
      <c r="G21">
        <f t="shared" si="1"/>
        <v>57.599999999999994</v>
      </c>
      <c r="H21">
        <f t="shared" si="1"/>
        <v>47.603305785123972</v>
      </c>
      <c r="I21">
        <f t="shared" si="1"/>
        <v>40</v>
      </c>
      <c r="J21">
        <f t="shared" si="1"/>
        <v>34.082840236686394</v>
      </c>
      <c r="K21">
        <f t="shared" si="1"/>
        <v>29.387755102040813</v>
      </c>
      <c r="L21">
        <f t="shared" si="1"/>
        <v>25.6</v>
      </c>
      <c r="M21">
        <f t="shared" si="1"/>
        <v>22.500000000000004</v>
      </c>
      <c r="N21">
        <f t="shared" si="1"/>
        <v>19.930795847750865</v>
      </c>
      <c r="O21">
        <f t="shared" si="1"/>
        <v>17.777777777777779</v>
      </c>
      <c r="P21">
        <f t="shared" si="1"/>
        <v>15.955678670360111</v>
      </c>
      <c r="Q21">
        <f t="shared" si="1"/>
        <v>14.399999999999999</v>
      </c>
      <c r="R21">
        <f t="shared" si="2"/>
        <v>13.061224489795919</v>
      </c>
      <c r="S21">
        <f t="shared" si="2"/>
        <v>11.900826446280993</v>
      </c>
      <c r="T21">
        <f t="shared" si="2"/>
        <v>10.888468809073723</v>
      </c>
      <c r="U21">
        <f t="shared" si="2"/>
        <v>10</v>
      </c>
      <c r="V21">
        <f t="shared" si="2"/>
        <v>9.4040816326530603</v>
      </c>
    </row>
    <row r="22" spans="1:22" x14ac:dyDescent="0.25">
      <c r="A22">
        <v>20</v>
      </c>
      <c r="B22">
        <f t="shared" si="1"/>
        <v>200</v>
      </c>
      <c r="C22">
        <f t="shared" si="1"/>
        <v>166.66666666666666</v>
      </c>
      <c r="D22">
        <f t="shared" si="1"/>
        <v>127.55102040816325</v>
      </c>
      <c r="E22">
        <f t="shared" si="1"/>
        <v>97.65625</v>
      </c>
      <c r="F22">
        <f t="shared" si="1"/>
        <v>77.160493827160494</v>
      </c>
      <c r="G22">
        <f t="shared" si="1"/>
        <v>62.5</v>
      </c>
      <c r="H22">
        <f t="shared" si="1"/>
        <v>51.652892561983471</v>
      </c>
      <c r="I22">
        <f t="shared" si="1"/>
        <v>43.402777777777779</v>
      </c>
      <c r="J22">
        <f t="shared" si="1"/>
        <v>36.982248520710051</v>
      </c>
      <c r="K22">
        <f t="shared" si="1"/>
        <v>31.887755102040813</v>
      </c>
      <c r="L22">
        <f t="shared" si="1"/>
        <v>27.777777777777779</v>
      </c>
      <c r="M22">
        <f t="shared" si="1"/>
        <v>24.4140625</v>
      </c>
      <c r="N22">
        <f t="shared" si="1"/>
        <v>21.626297577854668</v>
      </c>
      <c r="O22">
        <f t="shared" si="1"/>
        <v>19.290123456790123</v>
      </c>
      <c r="P22">
        <f t="shared" si="1"/>
        <v>17.313019390581715</v>
      </c>
      <c r="Q22">
        <f t="shared" si="1"/>
        <v>15.625</v>
      </c>
      <c r="R22">
        <f t="shared" si="2"/>
        <v>14.172335600907029</v>
      </c>
      <c r="S22">
        <f t="shared" si="2"/>
        <v>12.913223140495868</v>
      </c>
      <c r="T22">
        <f t="shared" si="2"/>
        <v>11.814744801512287</v>
      </c>
      <c r="U22">
        <f t="shared" si="2"/>
        <v>10.850694444444445</v>
      </c>
      <c r="V22">
        <f t="shared" si="2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G20"/>
  <sheetViews>
    <sheetView workbookViewId="0">
      <selection activeCell="E35" sqref="E35"/>
    </sheetView>
  </sheetViews>
  <sheetFormatPr defaultRowHeight="15" x14ac:dyDescent="0.25"/>
  <cols>
    <col min="4" max="4" width="9.85546875" bestFit="1" customWidth="1"/>
    <col min="5" max="5" width="44.5703125" customWidth="1"/>
  </cols>
  <sheetData>
    <row r="1" spans="1:7" x14ac:dyDescent="0.25">
      <c r="A1" t="s">
        <v>26</v>
      </c>
      <c r="B1" t="s">
        <v>27</v>
      </c>
    </row>
    <row r="2" spans="1:7" x14ac:dyDescent="0.25">
      <c r="A2">
        <v>0</v>
      </c>
      <c r="B2">
        <v>0.125</v>
      </c>
      <c r="F2">
        <f>ObliczMod(A2)</f>
        <v>0.125</v>
      </c>
    </row>
    <row r="3" spans="1:7" x14ac:dyDescent="0.25">
      <c r="A3">
        <v>0.1</v>
      </c>
      <c r="B3">
        <v>0.125</v>
      </c>
      <c r="F3">
        <f t="shared" ref="F3:F20" si="0">ObliczMod(A3)</f>
        <v>0.125</v>
      </c>
    </row>
    <row r="4" spans="1:7" x14ac:dyDescent="0.25">
      <c r="A4">
        <v>0.25</v>
      </c>
      <c r="B4">
        <v>0.125</v>
      </c>
      <c r="F4">
        <f t="shared" si="0"/>
        <v>0.125</v>
      </c>
    </row>
    <row r="5" spans="1:7" x14ac:dyDescent="0.25">
      <c r="A5">
        <f>(0.5-0.25)/4*1+0.25</f>
        <v>0.3125</v>
      </c>
      <c r="B5">
        <f>(0.25-0.125)/4*1+0.125</f>
        <v>0.15625</v>
      </c>
      <c r="F5">
        <f t="shared" si="0"/>
        <v>0.15625</v>
      </c>
      <c r="G5">
        <f>B5-F5</f>
        <v>0</v>
      </c>
    </row>
    <row r="6" spans="1:7" x14ac:dyDescent="0.25">
      <c r="A6">
        <f>(0.5-0.25)/4*2+0.25</f>
        <v>0.375</v>
      </c>
      <c r="B6">
        <f>(0.25-0.125)/4*2+0.125</f>
        <v>0.1875</v>
      </c>
      <c r="F6">
        <f t="shared" si="0"/>
        <v>0.1875</v>
      </c>
      <c r="G6">
        <f t="shared" ref="G6:G20" si="1">B6-F6</f>
        <v>0</v>
      </c>
    </row>
    <row r="7" spans="1:7" x14ac:dyDescent="0.25">
      <c r="A7">
        <f>(0.5-0.25)/4*3+0.25</f>
        <v>0.4375</v>
      </c>
      <c r="B7">
        <f>(0.25-0.125)/4*3+0.125</f>
        <v>0.21875</v>
      </c>
      <c r="F7">
        <f t="shared" si="0"/>
        <v>0.21875</v>
      </c>
      <c r="G7">
        <f t="shared" si="1"/>
        <v>0</v>
      </c>
    </row>
    <row r="8" spans="1:7" x14ac:dyDescent="0.25">
      <c r="A8">
        <v>0.5</v>
      </c>
      <c r="B8">
        <v>0.25</v>
      </c>
      <c r="F8">
        <f t="shared" si="0"/>
        <v>0.25</v>
      </c>
      <c r="G8">
        <f t="shared" si="1"/>
        <v>0</v>
      </c>
    </row>
    <row r="9" spans="1:7" x14ac:dyDescent="0.25">
      <c r="A9">
        <f>(1-0.5)/4*1+0.5</f>
        <v>0.625</v>
      </c>
      <c r="B9">
        <f>(0.5-0.25)/4*1+0.25</f>
        <v>0.3125</v>
      </c>
      <c r="F9">
        <f t="shared" si="0"/>
        <v>0.3125</v>
      </c>
      <c r="G9">
        <f t="shared" si="1"/>
        <v>0</v>
      </c>
    </row>
    <row r="10" spans="1:7" x14ac:dyDescent="0.25">
      <c r="A10">
        <f>(1-0.5)/4*2+0.5</f>
        <v>0.75</v>
      </c>
      <c r="B10">
        <f>(0.5-0.25)/4*2+0.25</f>
        <v>0.375</v>
      </c>
      <c r="F10">
        <f t="shared" si="0"/>
        <v>0.375</v>
      </c>
      <c r="G10">
        <f t="shared" si="1"/>
        <v>0</v>
      </c>
    </row>
    <row r="11" spans="1:7" x14ac:dyDescent="0.25">
      <c r="A11">
        <f>(1-0.5)/4*3+0.5</f>
        <v>0.875</v>
      </c>
      <c r="B11">
        <f>(0.5-0.25)/4*3+0.25</f>
        <v>0.4375</v>
      </c>
      <c r="F11">
        <f t="shared" si="0"/>
        <v>0.4375</v>
      </c>
      <c r="G11">
        <f t="shared" si="1"/>
        <v>0</v>
      </c>
    </row>
    <row r="12" spans="1:7" x14ac:dyDescent="0.25">
      <c r="A12">
        <v>1</v>
      </c>
      <c r="B12">
        <v>0.5</v>
      </c>
      <c r="F12">
        <f t="shared" si="0"/>
        <v>0.5</v>
      </c>
      <c r="G12">
        <f t="shared" si="1"/>
        <v>0</v>
      </c>
    </row>
    <row r="13" spans="1:7" x14ac:dyDescent="0.25">
      <c r="A13">
        <f>(3-1)/4*1+1</f>
        <v>1.5</v>
      </c>
      <c r="B13">
        <f>(1-0.5)/4*1+0.5</f>
        <v>0.625</v>
      </c>
      <c r="F13">
        <f t="shared" si="0"/>
        <v>0.625</v>
      </c>
      <c r="G13">
        <f t="shared" si="1"/>
        <v>0</v>
      </c>
    </row>
    <row r="14" spans="1:7" x14ac:dyDescent="0.25">
      <c r="A14">
        <f>(3-1)/4*2+1</f>
        <v>2</v>
      </c>
      <c r="B14">
        <f>(1-0.5)/4*2+0.5</f>
        <v>0.75</v>
      </c>
      <c r="F14">
        <f t="shared" si="0"/>
        <v>0.75</v>
      </c>
      <c r="G14">
        <f t="shared" si="1"/>
        <v>0</v>
      </c>
    </row>
    <row r="15" spans="1:7" x14ac:dyDescent="0.25">
      <c r="A15">
        <f>(3-1)/4*3+1</f>
        <v>2.5</v>
      </c>
      <c r="B15">
        <f>(1-0.5)/4*3+0.5</f>
        <v>0.875</v>
      </c>
      <c r="F15">
        <f t="shared" si="0"/>
        <v>0.875</v>
      </c>
      <c r="G15">
        <f t="shared" si="1"/>
        <v>0</v>
      </c>
    </row>
    <row r="16" spans="1:7" x14ac:dyDescent="0.25">
      <c r="A16">
        <v>3</v>
      </c>
      <c r="B16">
        <v>1</v>
      </c>
      <c r="F16">
        <f t="shared" si="0"/>
        <v>1</v>
      </c>
      <c r="G16">
        <f t="shared" si="1"/>
        <v>0</v>
      </c>
    </row>
    <row r="17" spans="1:7" x14ac:dyDescent="0.25">
      <c r="A17">
        <v>4.5</v>
      </c>
      <c r="B17">
        <v>1.125</v>
      </c>
      <c r="F17">
        <f t="shared" si="0"/>
        <v>1.125</v>
      </c>
      <c r="G17">
        <f t="shared" si="1"/>
        <v>0</v>
      </c>
    </row>
    <row r="18" spans="1:7" x14ac:dyDescent="0.25">
      <c r="A18">
        <v>6</v>
      </c>
      <c r="B18">
        <v>1.25</v>
      </c>
      <c r="F18">
        <f t="shared" si="0"/>
        <v>1.25</v>
      </c>
      <c r="G18">
        <f t="shared" si="1"/>
        <v>0</v>
      </c>
    </row>
    <row r="19" spans="1:7" x14ac:dyDescent="0.25">
      <c r="A19">
        <v>7.5</v>
      </c>
      <c r="B19">
        <v>1.375</v>
      </c>
      <c r="F19">
        <f t="shared" si="0"/>
        <v>1.375</v>
      </c>
      <c r="G19">
        <f t="shared" si="1"/>
        <v>0</v>
      </c>
    </row>
    <row r="20" spans="1:7" x14ac:dyDescent="0.25">
      <c r="A20">
        <v>9</v>
      </c>
      <c r="B20">
        <v>1.5</v>
      </c>
      <c r="F20">
        <f t="shared" si="0"/>
        <v>1.5</v>
      </c>
      <c r="G20">
        <f t="shared" si="1"/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D14"/>
  <sheetViews>
    <sheetView workbookViewId="0">
      <selection activeCell="C22" sqref="C22"/>
    </sheetView>
  </sheetViews>
  <sheetFormatPr defaultRowHeight="15" x14ac:dyDescent="0.25"/>
  <cols>
    <col min="1" max="1" width="11.28515625" customWidth="1"/>
  </cols>
  <sheetData>
    <row r="1" spans="1:4" x14ac:dyDescent="0.25">
      <c r="B1" t="s">
        <v>21</v>
      </c>
      <c r="C1" t="s">
        <v>22</v>
      </c>
      <c r="D1" t="s">
        <v>23</v>
      </c>
    </row>
    <row r="2" spans="1:4" x14ac:dyDescent="0.25">
      <c r="A2" s="1" t="s">
        <v>8</v>
      </c>
      <c r="B2" s="1">
        <v>4</v>
      </c>
      <c r="C2" s="1">
        <v>5</v>
      </c>
      <c r="D2" s="1">
        <v>3</v>
      </c>
    </row>
    <row r="3" spans="1:4" x14ac:dyDescent="0.25">
      <c r="A3" s="1" t="s">
        <v>9</v>
      </c>
      <c r="B3" s="1">
        <v>4</v>
      </c>
      <c r="C3" s="1">
        <v>4</v>
      </c>
      <c r="D3" s="1">
        <v>4</v>
      </c>
    </row>
    <row r="4" spans="1:4" x14ac:dyDescent="0.25">
      <c r="A4" s="1" t="s">
        <v>10</v>
      </c>
      <c r="B4" s="1">
        <v>4</v>
      </c>
      <c r="C4" s="1">
        <v>3</v>
      </c>
      <c r="D4" s="1">
        <v>3</v>
      </c>
    </row>
    <row r="5" spans="1:4" x14ac:dyDescent="0.25">
      <c r="A5" s="1" t="s">
        <v>11</v>
      </c>
      <c r="B5" s="1">
        <v>4</v>
      </c>
      <c r="C5" s="1">
        <v>3</v>
      </c>
      <c r="D5" s="1">
        <v>3</v>
      </c>
    </row>
    <row r="6" spans="1:4" x14ac:dyDescent="0.25">
      <c r="A6" t="s">
        <v>12</v>
      </c>
      <c r="B6">
        <v>4</v>
      </c>
      <c r="C6">
        <v>4</v>
      </c>
      <c r="D6">
        <v>5</v>
      </c>
    </row>
    <row r="7" spans="1:4" x14ac:dyDescent="0.25">
      <c r="A7" t="s">
        <v>13</v>
      </c>
      <c r="B7">
        <v>4</v>
      </c>
      <c r="C7">
        <v>3</v>
      </c>
      <c r="D7">
        <v>3</v>
      </c>
    </row>
    <row r="8" spans="1:4" x14ac:dyDescent="0.25">
      <c r="A8" s="1" t="s">
        <v>14</v>
      </c>
      <c r="B8" s="1">
        <v>4</v>
      </c>
      <c r="C8" s="1">
        <v>4</v>
      </c>
      <c r="D8" s="1">
        <v>4</v>
      </c>
    </row>
    <row r="9" spans="1:4" x14ac:dyDescent="0.25">
      <c r="A9" s="1" t="s">
        <v>15</v>
      </c>
      <c r="B9" s="1">
        <v>4</v>
      </c>
      <c r="C9" s="1">
        <v>3</v>
      </c>
      <c r="D9" s="1">
        <v>4</v>
      </c>
    </row>
    <row r="10" spans="1:4" x14ac:dyDescent="0.25">
      <c r="A10" s="1" t="s">
        <v>16</v>
      </c>
      <c r="B10" s="1">
        <v>4</v>
      </c>
      <c r="C10" s="1">
        <v>3</v>
      </c>
      <c r="D10" s="1">
        <v>3</v>
      </c>
    </row>
    <row r="11" spans="1:4" x14ac:dyDescent="0.25">
      <c r="A11" t="s">
        <v>17</v>
      </c>
      <c r="B11">
        <v>3</v>
      </c>
      <c r="C11">
        <v>3</v>
      </c>
      <c r="D11">
        <v>3</v>
      </c>
    </row>
    <row r="12" spans="1:4" x14ac:dyDescent="0.25">
      <c r="A12" t="s">
        <v>18</v>
      </c>
      <c r="B12">
        <v>3</v>
      </c>
      <c r="C12">
        <v>3</v>
      </c>
      <c r="D12">
        <v>2</v>
      </c>
    </row>
    <row r="13" spans="1:4" x14ac:dyDescent="0.25">
      <c r="A13" t="s">
        <v>19</v>
      </c>
      <c r="B13">
        <v>4</v>
      </c>
      <c r="C13">
        <v>4</v>
      </c>
      <c r="D13">
        <v>4</v>
      </c>
    </row>
    <row r="14" spans="1:4" x14ac:dyDescent="0.25">
      <c r="A14" t="s">
        <v>20</v>
      </c>
      <c r="B14">
        <v>3</v>
      </c>
      <c r="C14">
        <v>4</v>
      </c>
      <c r="D1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carry</vt:lpstr>
      <vt:lpstr>lvl hp atk</vt:lpstr>
      <vt:lpstr>lvl vs lvl</vt:lpstr>
      <vt:lpstr>ratio calc</vt:lpstr>
      <vt:lpstr>aptitude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x-kom Tomasz Zielski</dc:creator>
  <cp:lastModifiedBy>x-kom Tomasz Zielski</cp:lastModifiedBy>
  <dcterms:created xsi:type="dcterms:W3CDTF">2017-10-04T09:40:15Z</dcterms:created>
  <dcterms:modified xsi:type="dcterms:W3CDTF">2017-10-06T08:52:20Z</dcterms:modified>
</cp:coreProperties>
</file>